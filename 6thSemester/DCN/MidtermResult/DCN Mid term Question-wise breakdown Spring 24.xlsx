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Shan Ul Haq\Downloads\"/>
    </mc:Choice>
  </mc:AlternateContent>
  <xr:revisionPtr revIDLastSave="0" documentId="8_{017CFBE1-4424-49F9-8CBD-2CF95DA937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  <sheet name="Repea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hNpQKf5Qx1Jj1R48eZ5EIIPK5/g=="/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5" i="1"/>
</calcChain>
</file>

<file path=xl/sharedStrings.xml><?xml version="1.0" encoding="utf-8"?>
<sst xmlns="http://schemas.openxmlformats.org/spreadsheetml/2006/main" count="359" uniqueCount="300">
  <si>
    <t>Department of Computer Systems Engineering</t>
  </si>
  <si>
    <t>Name</t>
  </si>
  <si>
    <t>21PWCSE1973</t>
  </si>
  <si>
    <t>SYEDA ALISHA ABID</t>
  </si>
  <si>
    <t>21PWCSE1978</t>
  </si>
  <si>
    <t>MASHAL EMAN</t>
  </si>
  <si>
    <t>21PWCSE1981</t>
  </si>
  <si>
    <t>SHAHZEB KHAN</t>
  </si>
  <si>
    <t>21PWCSE1984</t>
  </si>
  <si>
    <t>ADEEL MUNIR</t>
  </si>
  <si>
    <t>21PWCSE1987</t>
  </si>
  <si>
    <t>TEHREEM FATIMA</t>
  </si>
  <si>
    <t>21PWCSE1990</t>
  </si>
  <si>
    <t>HAMZA</t>
  </si>
  <si>
    <t>21PWCSE1993</t>
  </si>
  <si>
    <t>AWAIS SADDIQUI</t>
  </si>
  <si>
    <t>21PWCSE1996</t>
  </si>
  <si>
    <t>AIMAL KHAN</t>
  </si>
  <si>
    <t>21PWCSE1999</t>
  </si>
  <si>
    <t>HAMMAD AHMAD</t>
  </si>
  <si>
    <t>21PWCSE2002</t>
  </si>
  <si>
    <t>YASEEN AHMAD</t>
  </si>
  <si>
    <t>21PWCSE2005</t>
  </si>
  <si>
    <t>GUL MAAN</t>
  </si>
  <si>
    <t>21PWCSE2008</t>
  </si>
  <si>
    <t>AHMED ALI</t>
  </si>
  <si>
    <t>21PWCSE2011</t>
  </si>
  <si>
    <t>DANIAL AHMED AWAN</t>
  </si>
  <si>
    <t>21PWCSE2014</t>
  </si>
  <si>
    <t>SARWAT</t>
  </si>
  <si>
    <t>21PWCSE2017</t>
  </si>
  <si>
    <t>ILHAM HAMID</t>
  </si>
  <si>
    <t>21PWCSE2020</t>
  </si>
  <si>
    <t>AYESHA KHALID</t>
  </si>
  <si>
    <t>21PWCSE2023</t>
  </si>
  <si>
    <t>SAIF UL ISLAM</t>
  </si>
  <si>
    <t>21PWCSE2026</t>
  </si>
  <si>
    <t>SYED ASHIR HUSSAIN SHAH</t>
  </si>
  <si>
    <t>21PWCSE2029</t>
  </si>
  <si>
    <t>KHWAJA ABDUL RUB</t>
  </si>
  <si>
    <t>21PWCSE2032</t>
  </si>
  <si>
    <t>MUHAMMAD ZUBAIR QAZI</t>
  </si>
  <si>
    <t>21PWCSE2038</t>
  </si>
  <si>
    <t>MAAZ ALI</t>
  </si>
  <si>
    <t>21PWCSE2041</t>
  </si>
  <si>
    <t>HAMMAD NASIR</t>
  </si>
  <si>
    <t>21PWCSE2044</t>
  </si>
  <si>
    <t>NASAR HUSSAIN</t>
  </si>
  <si>
    <t>21PWCSE2066</t>
  </si>
  <si>
    <t>MUHAMMAD TAYYAB</t>
  </si>
  <si>
    <t>21PWCSE2069</t>
  </si>
  <si>
    <t>SYED GHULAM MOEEN-UD-DIN SHAH BANOORI</t>
  </si>
  <si>
    <t>21PWCSE2072</t>
  </si>
  <si>
    <t>FEHAM HASSAN</t>
  </si>
  <si>
    <t>21PWCSE2075</t>
  </si>
  <si>
    <t>SYED RAZA ALI SHAH HASHMI</t>
  </si>
  <si>
    <t>21PWCSE2080</t>
  </si>
  <si>
    <t>RUSTAM ALI SHAH</t>
  </si>
  <si>
    <t>21PWCSE2083</t>
  </si>
  <si>
    <t>JUNAID SAEED</t>
  </si>
  <si>
    <t>21PWCSE2086</t>
  </si>
  <si>
    <t>MALAIKA ARSHAD</t>
  </si>
  <si>
    <t>21PWCSE2089</t>
  </si>
  <si>
    <t>IBRAR AHMAD</t>
  </si>
  <si>
    <t>21PWCSE2046</t>
  </si>
  <si>
    <t>NOOR UL HAQ</t>
  </si>
  <si>
    <t>21PWCSE2049</t>
  </si>
  <si>
    <t>MUHAMMAD JALAL</t>
  </si>
  <si>
    <t>21PWCSE2053</t>
  </si>
  <si>
    <t>MUHAMMAD MUNEEB</t>
  </si>
  <si>
    <t>21PWCSE2057</t>
  </si>
  <si>
    <t>IJAZ AHMAD</t>
  </si>
  <si>
    <t>21PWCSE2060</t>
  </si>
  <si>
    <t>Alina Khewal</t>
  </si>
  <si>
    <t>21PWCSE1974</t>
  </si>
  <si>
    <t>HADIA TAHIR</t>
  </si>
  <si>
    <t>21PWCSE1986</t>
  </si>
  <si>
    <t>MALEEHA MEHMOOD</t>
  </si>
  <si>
    <t>21PWCSE1988</t>
  </si>
  <si>
    <t>SYEDA FATIMA SAJID</t>
  </si>
  <si>
    <t>21PWCSE2092</t>
  </si>
  <si>
    <t>FATIMA ZUHRA</t>
  </si>
  <si>
    <t>21PWCSE1976</t>
  </si>
  <si>
    <t>UMER HAYAT KHAN</t>
  </si>
  <si>
    <t>21PWCSE1979</t>
  </si>
  <si>
    <t>KASHIF ALAM</t>
  </si>
  <si>
    <t>21PWCSE1982</t>
  </si>
  <si>
    <t>MUHAMMAD HASSAAN</t>
  </si>
  <si>
    <t>21PWCSE1985</t>
  </si>
  <si>
    <t>LAIBA SAEED</t>
  </si>
  <si>
    <t>21PWCSE1991</t>
  </si>
  <si>
    <t>MUHAMMAD ZAID</t>
  </si>
  <si>
    <t>21PWCSE1994</t>
  </si>
  <si>
    <t>KHIZAR HAYAT KHAN</t>
  </si>
  <si>
    <t>21PWCSE1997</t>
  </si>
  <si>
    <t>MUHAMMAD SAAD</t>
  </si>
  <si>
    <t>21PWCSE2000</t>
  </si>
  <si>
    <t>MUHAMMAD UMAR JAN</t>
  </si>
  <si>
    <t>21PWCSE2003</t>
  </si>
  <si>
    <t>AREEBA SARWAR</t>
  </si>
  <si>
    <t>21PWCSE2006</t>
  </si>
  <si>
    <t>ABDUL MOIZ SOHAIL</t>
  </si>
  <si>
    <t>21PWCSE2009</t>
  </si>
  <si>
    <t>JAWAD IRFAN</t>
  </si>
  <si>
    <t>21PWCSE2012</t>
  </si>
  <si>
    <t>NOUMAN KHALID</t>
  </si>
  <si>
    <t>21PWCSE2015</t>
  </si>
  <si>
    <t>FATIMA KHAN</t>
  </si>
  <si>
    <t>21PWCSE2018</t>
  </si>
  <si>
    <t>MUHSIN SHAH</t>
  </si>
  <si>
    <t>21PWCSE2021</t>
  </si>
  <si>
    <t>MUJEEB UR REHMAN</t>
  </si>
  <si>
    <t>21PWCSE2024</t>
  </si>
  <si>
    <t>ABDULLAH KHAN</t>
  </si>
  <si>
    <t>21PWCSE2027</t>
  </si>
  <si>
    <t>FARYAL KHAIR</t>
  </si>
  <si>
    <t>21PWCSE2030</t>
  </si>
  <si>
    <t>ABDUL SALAM</t>
  </si>
  <si>
    <t>21PWCSE2033</t>
  </si>
  <si>
    <t>SHAHAB GUL</t>
  </si>
  <si>
    <t>21PWCSE2036</t>
  </si>
  <si>
    <t>M ASIF IQBAL</t>
  </si>
  <si>
    <t>21PWCSE2039</t>
  </si>
  <si>
    <t>GHUNCHA NIGAR</t>
  </si>
  <si>
    <t>21PWCSE2042</t>
  </si>
  <si>
    <t>MUHAMMAD SULIMAN ALI KHAN</t>
  </si>
  <si>
    <t>21PWCSE2067</t>
  </si>
  <si>
    <t>TUFAIL AHMAD</t>
  </si>
  <si>
    <t>21PWCSE2070</t>
  </si>
  <si>
    <t>MUHAMMAD ABDUR REHMAN</t>
  </si>
  <si>
    <t>21PWCSE2073</t>
  </si>
  <si>
    <t>HARIS MUNIR</t>
  </si>
  <si>
    <t>21PWCSE2076</t>
  </si>
  <si>
    <t>AYMAN MAAB</t>
  </si>
  <si>
    <t>21PWCSE2079</t>
  </si>
  <si>
    <t>MUHAMMAD UZAIF</t>
  </si>
  <si>
    <t>21PWCSE2081</t>
  </si>
  <si>
    <t>MUHAMMAD AWAIS</t>
  </si>
  <si>
    <t>21PWCSE2084</t>
  </si>
  <si>
    <t>HAZIK MUJEEB</t>
  </si>
  <si>
    <t>21PWCSE2087</t>
  </si>
  <si>
    <t>MOHAMMAD HASHIR SAJJAD</t>
  </si>
  <si>
    <t>21PWCSE2090</t>
  </si>
  <si>
    <t>MOHAMMAD UZAIR</t>
  </si>
  <si>
    <t>21PWCSE2093</t>
  </si>
  <si>
    <t>HIRA WALI</t>
  </si>
  <si>
    <t>21PWCSE2047</t>
  </si>
  <si>
    <t>MOHAMMAD AYUB SIDDIQI</t>
  </si>
  <si>
    <t>21PWCSE2050</t>
  </si>
  <si>
    <t>HAMZA Haider</t>
  </si>
  <si>
    <t>21PWCSE2055</t>
  </si>
  <si>
    <t>MUHAMMAD ILYAS</t>
  </si>
  <si>
    <t>21PWCSE2058</t>
  </si>
  <si>
    <t>NAEEM ULLAH</t>
  </si>
  <si>
    <t>21PWCSE2045</t>
  </si>
  <si>
    <t>SAHAR MALAIKA</t>
  </si>
  <si>
    <t>21PWCSE2095</t>
  </si>
  <si>
    <t>Muhammad Ahmad Khan</t>
  </si>
  <si>
    <t>21PWCSE2016</t>
  </si>
  <si>
    <t>MUHAMMAD SAAD ALI SHAH</t>
  </si>
  <si>
    <t>21PWCSE2063</t>
  </si>
  <si>
    <t>Abdul Rasheed</t>
  </si>
  <si>
    <t>21PWCSE1975</t>
  </si>
  <si>
    <t>SIBGHA NOOR</t>
  </si>
  <si>
    <t>21PWCSE1977</t>
  </si>
  <si>
    <t>ABDUL AHAD</t>
  </si>
  <si>
    <t>21PWCSE1980</t>
  </si>
  <si>
    <t>SHAHZAD BANGASH</t>
  </si>
  <si>
    <t>21PWCSE1983</t>
  </si>
  <si>
    <t>SULEMAN SHAH</t>
  </si>
  <si>
    <t>21PWCSE1989</t>
  </si>
  <si>
    <t>ZAWAR AHMED KHAN</t>
  </si>
  <si>
    <t>21PWCSE1992</t>
  </si>
  <si>
    <t>SYED FAHD ALI</t>
  </si>
  <si>
    <t>21PWCSE1995</t>
  </si>
  <si>
    <t>SHAH HASEEB AHMAD KHAN</t>
  </si>
  <si>
    <t>21PWCSE1998</t>
  </si>
  <si>
    <t>MALAIKA KHATTAK</t>
  </si>
  <si>
    <t>21PWCSE2001</t>
  </si>
  <si>
    <t>SAIF - UR - REHMAN</t>
  </si>
  <si>
    <t>21PWCSE2004</t>
  </si>
  <si>
    <t>ABU BAKAR</t>
  </si>
  <si>
    <t>21PWCSE2007</t>
  </si>
  <si>
    <t>DIDAR ALI</t>
  </si>
  <si>
    <t>21PWCSE2010</t>
  </si>
  <si>
    <t>ESHA RIZWAN</t>
  </si>
  <si>
    <t>21PWCSE2013</t>
  </si>
  <si>
    <t>HAMZA MATEEN</t>
  </si>
  <si>
    <t>21PWCSE2019</t>
  </si>
  <si>
    <t>MUNEEZA REHMAN</t>
  </si>
  <si>
    <t>21PWCSE2022</t>
  </si>
  <si>
    <t>ZAIN UL ABIDEEN</t>
  </si>
  <si>
    <t>21PWCSE2025</t>
  </si>
  <si>
    <t>LAIBA MIR</t>
  </si>
  <si>
    <t>21PWCSE2028</t>
  </si>
  <si>
    <t>MUHAMMAD SADEEQ</t>
  </si>
  <si>
    <t>21PWCSE2031</t>
  </si>
  <si>
    <t>MUHAMMAD FARHAN SHAH</t>
  </si>
  <si>
    <t>21PWCSE2034</t>
  </si>
  <si>
    <t>JUNAID AKHTAR</t>
  </si>
  <si>
    <t>21PWCSE2037</t>
  </si>
  <si>
    <t>21PWCSE2040</t>
  </si>
  <si>
    <t>MAAZ KHAN</t>
  </si>
  <si>
    <t>21PWCSE2043</t>
  </si>
  <si>
    <t>ANEES UR REHMAN NAZAR</t>
  </si>
  <si>
    <t>21PWCSE2065</t>
  </si>
  <si>
    <t>INSHRA SUHAIL</t>
  </si>
  <si>
    <t>21PWCSE2068</t>
  </si>
  <si>
    <t>WASEEM SAJJAD</t>
  </si>
  <si>
    <t>21PWCSE2071</t>
  </si>
  <si>
    <t>FIZZA MUMTAZ</t>
  </si>
  <si>
    <t>21PWCSE2074</t>
  </si>
  <si>
    <t>MUHAMMAD SHAHAB</t>
  </si>
  <si>
    <t>21PWCSE2077</t>
  </si>
  <si>
    <t>MUHAMMAD SUDAIS BIN SOHAIL</t>
  </si>
  <si>
    <t>21PWCSE2085</t>
  </si>
  <si>
    <t>USMAN KHAN KHALIL</t>
  </si>
  <si>
    <t>21PWCSE2088</t>
  </si>
  <si>
    <t>UMAIR FARID</t>
  </si>
  <si>
    <t>21PWCSE2091</t>
  </si>
  <si>
    <t>HUZAIFA JAVAID DURRANI</t>
  </si>
  <si>
    <t>21PWCSE2094</t>
  </si>
  <si>
    <t>MAIMOONA SHAH</t>
  </si>
  <si>
    <t>21PWCSE2096</t>
  </si>
  <si>
    <t>MUHAMMAD HUBBAISH RANA</t>
  </si>
  <si>
    <t>21PWCSE2048</t>
  </si>
  <si>
    <t>BILAL AHMAD</t>
  </si>
  <si>
    <t>21PWCSE2051</t>
  </si>
  <si>
    <t>SOMIA SHAHID</t>
  </si>
  <si>
    <t>21PWCSE2056</t>
  </si>
  <si>
    <t>ADNAN AFRIDI</t>
  </si>
  <si>
    <t>21PWCSE2059</t>
  </si>
  <si>
    <t>ALI ASGHAR</t>
  </si>
  <si>
    <t>21PWCSE2052</t>
  </si>
  <si>
    <t>Aysha Hilal</t>
  </si>
  <si>
    <t>21PWCSE2054</t>
  </si>
  <si>
    <t>LAIBA AMIR</t>
  </si>
  <si>
    <t>21PWCSE2061</t>
  </si>
  <si>
    <t>Muhammad Umer</t>
  </si>
  <si>
    <t>21PWCSE2062</t>
  </si>
  <si>
    <t>Ummar Ahmad Khan</t>
  </si>
  <si>
    <t>21PWCSE2098</t>
  </si>
  <si>
    <t>SARMAD ZAKIR</t>
  </si>
  <si>
    <t>21PWCSE2097</t>
  </si>
  <si>
    <t>ALI AKBAR KHAN</t>
  </si>
  <si>
    <t>S. No.</t>
  </si>
  <si>
    <t>Registration No.</t>
  </si>
  <si>
    <t>20PWCSE1954</t>
  </si>
  <si>
    <t>MUHAMMAD FAIZ UL HAQUE</t>
  </si>
  <si>
    <t>6th Semester, Section A, Spring 2024</t>
  </si>
  <si>
    <t>6th Semester, Section B, Spring 2024</t>
  </si>
  <si>
    <t>6th Semester, Section C, Spring 2024</t>
  </si>
  <si>
    <t>University of Engineering &amp; Technology Peshawar</t>
  </si>
  <si>
    <t>Quiz-1/10</t>
  </si>
  <si>
    <t>Q1/15</t>
  </si>
  <si>
    <t>Q2/8</t>
  </si>
  <si>
    <t>Q3-1/3</t>
  </si>
  <si>
    <t>Q3-2/3</t>
  </si>
  <si>
    <t>Q3-3/3</t>
  </si>
  <si>
    <t>Q3-4/5</t>
  </si>
  <si>
    <t>Q3-5/3</t>
  </si>
  <si>
    <t>Q3-6/5</t>
  </si>
  <si>
    <t>Q3-7/4</t>
  </si>
  <si>
    <t>Q3-8/4</t>
  </si>
  <si>
    <t>Q3-9/5</t>
  </si>
  <si>
    <t>Q3-10/5</t>
  </si>
  <si>
    <t>Q3-11/3</t>
  </si>
  <si>
    <t>Q3-12/3</t>
  </si>
  <si>
    <t>Q3-13/3</t>
  </si>
  <si>
    <t>Q4/8</t>
  </si>
  <si>
    <t>Q5/6</t>
  </si>
  <si>
    <t>20PWCSE1944</t>
  </si>
  <si>
    <t>Muhammad Asim</t>
  </si>
  <si>
    <t>20PWCSE1878</t>
  </si>
  <si>
    <t>Abdur Rahman</t>
  </si>
  <si>
    <t>20PWCSE1931</t>
  </si>
  <si>
    <t>Arbab Kalim</t>
  </si>
  <si>
    <t>Farhat Khan</t>
  </si>
  <si>
    <t>20PWCSE1942</t>
  </si>
  <si>
    <t>20PWCSE1867</t>
  </si>
  <si>
    <t>Tayab Farooq</t>
  </si>
  <si>
    <t>20PWCSE1871</t>
  </si>
  <si>
    <t>Muhammad Awais Khan</t>
  </si>
  <si>
    <t>20PWCSE1876</t>
  </si>
  <si>
    <t>Afaq Ahmad</t>
  </si>
  <si>
    <t>Q3</t>
  </si>
  <si>
    <t>Part 1(3)</t>
  </si>
  <si>
    <t>Part 2(3)</t>
  </si>
  <si>
    <t>Part 3(3)</t>
  </si>
  <si>
    <t>Part 4(5)</t>
  </si>
  <si>
    <t>Part 5(3)</t>
  </si>
  <si>
    <t>Part 6(5)</t>
  </si>
  <si>
    <t>Part 7(4)</t>
  </si>
  <si>
    <t>Part 9(5)</t>
  </si>
  <si>
    <t>Part 8(4)</t>
  </si>
  <si>
    <t>Part 10(5)</t>
  </si>
  <si>
    <t>Part 11(3)</t>
  </si>
  <si>
    <t>Part 12(3)</t>
  </si>
  <si>
    <t>Part 13(3)</t>
  </si>
  <si>
    <t>Total(mids)86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</si>
</sst>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sz val="14"/>
      <color rgb="FF000000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49" fontId="2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4" borderId="2" xfId="0" applyFill="1" applyBorder="1"/>
    <xf numFmtId="0" fontId="1" fillId="4" borderId="2" xfId="0" applyFont="1" applyFill="1" applyBorder="1" applyAlignment="1">
      <alignment horizontal="center"/>
    </xf>
    <xf numFmtId="0" fontId="0" fillId="4" borderId="2" xfId="0" applyFill="1" applyBorder="1"/>
    <xf numFmtId="0" fontId="0" fillId="0" borderId="0" xfId="0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2" fillId="2" borderId="9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3" borderId="11" xfId="0" applyFont="1" applyFill="1" applyBorder="1" applyAlignment="1">
      <alignment horizontal="left"/>
    </xf>
    <xf numFmtId="0" fontId="0" fillId="4" borderId="12" xfId="0" applyFill="1" applyBorder="1"/>
    <xf numFmtId="0" fontId="0" fillId="4" borderId="13" xfId="0" applyFill="1" applyBorder="1"/>
    <xf numFmtId="0" fontId="1" fillId="4" borderId="9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7" fillId="0" borderId="9" xfId="0" applyFont="1" applyBorder="1"/>
    <xf numFmtId="49" fontId="2" fillId="2" borderId="9" xfId="0" applyNumberFormat="1" applyFont="1" applyFill="1" applyBorder="1"/>
    <xf numFmtId="49" fontId="2" fillId="0" borderId="9" xfId="0" applyNumberFormat="1" applyFont="1" applyBorder="1" applyAlignment="1">
      <alignment horizontal="left"/>
    </xf>
    <xf numFmtId="0" fontId="0" fillId="4" borderId="17" xfId="0" applyFill="1" applyBorder="1"/>
    <xf numFmtId="0" fontId="0" fillId="4" borderId="18" xfId="0" applyFill="1" applyBorder="1"/>
    <xf numFmtId="0" fontId="0" fillId="4" borderId="11" xfId="0" applyFill="1" applyBorder="1"/>
    <xf numFmtId="0" fontId="0" fillId="4" borderId="21" xfId="0" applyFill="1" applyBorder="1"/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2"/>
  <sheetViews>
    <sheetView tabSelected="1" zoomScale="70" zoomScaleNormal="70" workbookViewId="0">
      <selection activeCell="D97" sqref="D97:V138"/>
    </sheetView>
  </sheetViews>
  <sheetFormatPr defaultColWidth="14.42578125" defaultRowHeight="15" customHeight="1" x14ac:dyDescent="0.25"/>
  <cols>
    <col min="1" max="1" width="6" customWidth="1"/>
    <col min="2" max="2" width="19.5703125" style="1" customWidth="1"/>
    <col min="3" max="3" width="55.7109375" bestFit="1" customWidth="1"/>
    <col min="4" max="4" width="9.7109375" bestFit="1" customWidth="1"/>
    <col min="5" max="6" width="8" customWidth="1"/>
    <col min="7" max="7" width="8.85546875" bestFit="1" customWidth="1"/>
    <col min="8" max="11" width="9.28515625" bestFit="1" customWidth="1"/>
    <col min="12" max="12" width="9.28515625" customWidth="1"/>
    <col min="13" max="14" width="9.28515625" bestFit="1" customWidth="1"/>
    <col min="15" max="15" width="8" customWidth="1"/>
    <col min="16" max="16" width="10.140625" bestFit="1" customWidth="1"/>
    <col min="17" max="17" width="9.7109375" bestFit="1" customWidth="1"/>
    <col min="18" max="18" width="10.140625" bestFit="1" customWidth="1"/>
    <col min="19" max="19" width="9.140625" bestFit="1" customWidth="1"/>
    <col min="20" max="20" width="8" customWidth="1"/>
  </cols>
  <sheetData>
    <row r="1" spans="1:22" x14ac:dyDescent="0.25">
      <c r="A1" s="22" t="s">
        <v>0</v>
      </c>
      <c r="B1" s="23"/>
      <c r="C1" s="23"/>
    </row>
    <row r="2" spans="1:22" ht="15.75" thickBot="1" x14ac:dyDescent="0.3">
      <c r="A2" s="22" t="s">
        <v>252</v>
      </c>
      <c r="B2" s="23"/>
      <c r="C2" s="23"/>
    </row>
    <row r="3" spans="1:22" ht="15.75" thickBot="1" x14ac:dyDescent="0.3">
      <c r="A3" s="22" t="s">
        <v>249</v>
      </c>
      <c r="B3" s="23"/>
      <c r="C3" s="23"/>
      <c r="E3" s="24"/>
      <c r="F3" s="24"/>
      <c r="G3" s="26" t="s">
        <v>285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</row>
    <row r="4" spans="1:22" ht="18" customHeight="1" x14ac:dyDescent="0.25">
      <c r="A4" s="18" t="s">
        <v>245</v>
      </c>
      <c r="B4" s="18" t="s">
        <v>246</v>
      </c>
      <c r="C4" s="25" t="s">
        <v>1</v>
      </c>
      <c r="D4" s="34" t="s">
        <v>253</v>
      </c>
      <c r="E4" s="35" t="s">
        <v>254</v>
      </c>
      <c r="F4" s="35" t="s">
        <v>255</v>
      </c>
      <c r="G4" s="35" t="s">
        <v>286</v>
      </c>
      <c r="H4" s="35" t="s">
        <v>287</v>
      </c>
      <c r="I4" s="35" t="s">
        <v>288</v>
      </c>
      <c r="J4" s="35" t="s">
        <v>289</v>
      </c>
      <c r="K4" s="35" t="s">
        <v>290</v>
      </c>
      <c r="L4" s="35" t="s">
        <v>291</v>
      </c>
      <c r="M4" s="35" t="s">
        <v>292</v>
      </c>
      <c r="N4" s="35" t="s">
        <v>294</v>
      </c>
      <c r="O4" s="35" t="s">
        <v>293</v>
      </c>
      <c r="P4" s="35" t="s">
        <v>295</v>
      </c>
      <c r="Q4" s="35" t="s">
        <v>296</v>
      </c>
      <c r="R4" s="35" t="s">
        <v>297</v>
      </c>
      <c r="S4" s="35" t="s">
        <v>298</v>
      </c>
      <c r="T4" s="35" t="s">
        <v>269</v>
      </c>
      <c r="U4" s="43" t="s">
        <v>270</v>
      </c>
      <c r="V4" s="44" t="s">
        <v>299</v>
      </c>
    </row>
    <row r="5" spans="1:22" ht="18.75" x14ac:dyDescent="0.3">
      <c r="A5" s="2">
        <v>1</v>
      </c>
      <c r="B5" s="5" t="s">
        <v>74</v>
      </c>
      <c r="C5" s="29" t="s">
        <v>75</v>
      </c>
      <c r="D5" s="11">
        <v>6</v>
      </c>
      <c r="E5" s="11">
        <v>12</v>
      </c>
      <c r="F5" s="11">
        <v>4</v>
      </c>
      <c r="G5" s="11">
        <v>2</v>
      </c>
      <c r="H5" s="11">
        <v>3</v>
      </c>
      <c r="I5" s="11">
        <v>3</v>
      </c>
      <c r="J5" s="11">
        <v>4.5</v>
      </c>
      <c r="K5" s="11">
        <v>2.5</v>
      </c>
      <c r="L5" s="11">
        <v>4</v>
      </c>
      <c r="M5" s="11">
        <v>1.5</v>
      </c>
      <c r="N5" s="11">
        <v>0.5</v>
      </c>
      <c r="O5" s="11">
        <v>5</v>
      </c>
      <c r="P5" s="11">
        <v>5</v>
      </c>
      <c r="Q5" s="11">
        <v>0</v>
      </c>
      <c r="R5" s="11">
        <v>3</v>
      </c>
      <c r="S5" s="11">
        <v>3</v>
      </c>
      <c r="T5" s="11">
        <v>8</v>
      </c>
      <c r="U5" s="47">
        <v>6</v>
      </c>
      <c r="V5" s="48">
        <f>SUM(E5,F5,G5,H5,I5,J5,K5,L5,M5,N5,O5,P5,Q5,R5,S5,T5,U5)</f>
        <v>67</v>
      </c>
    </row>
    <row r="6" spans="1:22" ht="18.75" x14ac:dyDescent="0.3">
      <c r="A6" s="2">
        <v>2</v>
      </c>
      <c r="B6" s="4" t="s">
        <v>4</v>
      </c>
      <c r="C6" s="30" t="s">
        <v>5</v>
      </c>
      <c r="D6" s="11"/>
      <c r="E6" s="11">
        <v>12</v>
      </c>
      <c r="F6" s="11">
        <v>1</v>
      </c>
      <c r="G6" s="11">
        <v>2</v>
      </c>
      <c r="H6" s="11">
        <v>1</v>
      </c>
      <c r="I6" s="11">
        <v>0.5</v>
      </c>
      <c r="J6" s="11">
        <v>2</v>
      </c>
      <c r="K6" s="11">
        <v>0</v>
      </c>
      <c r="L6" s="11">
        <v>0.5</v>
      </c>
      <c r="M6" s="11">
        <v>0</v>
      </c>
      <c r="N6" s="11">
        <v>0</v>
      </c>
      <c r="O6" s="11">
        <v>3</v>
      </c>
      <c r="P6" s="11">
        <v>0</v>
      </c>
      <c r="Q6" s="11">
        <v>0</v>
      </c>
      <c r="R6" s="11">
        <v>0</v>
      </c>
      <c r="S6" s="11">
        <v>0</v>
      </c>
      <c r="T6" s="11">
        <v>2</v>
      </c>
      <c r="U6" s="47">
        <v>3</v>
      </c>
      <c r="V6" s="48">
        <f t="shared" ref="V6:V69" si="0">SUM(E6,F6,G6,H6,I6,J6,K6,L6,M6,N6,O6,P6,Q6,R6,S6,T6,U6)</f>
        <v>27</v>
      </c>
    </row>
    <row r="7" spans="1:22" ht="18.75" x14ac:dyDescent="0.3">
      <c r="A7" s="2">
        <v>3</v>
      </c>
      <c r="B7" s="4" t="s">
        <v>6</v>
      </c>
      <c r="C7" s="30" t="s">
        <v>7</v>
      </c>
      <c r="D7" s="11"/>
      <c r="E7" s="11">
        <v>10</v>
      </c>
      <c r="F7" s="11">
        <v>2</v>
      </c>
      <c r="G7" s="11">
        <v>1</v>
      </c>
      <c r="H7" s="11">
        <v>0</v>
      </c>
      <c r="I7" s="11">
        <v>0</v>
      </c>
      <c r="J7" s="11">
        <v>0</v>
      </c>
      <c r="K7" s="49">
        <v>3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2</v>
      </c>
      <c r="U7" s="47">
        <v>2</v>
      </c>
      <c r="V7" s="48">
        <f t="shared" si="0"/>
        <v>20</v>
      </c>
    </row>
    <row r="8" spans="1:22" ht="18.75" x14ac:dyDescent="0.3">
      <c r="A8" s="2">
        <v>4</v>
      </c>
      <c r="B8" s="5" t="s">
        <v>76</v>
      </c>
      <c r="C8" s="29" t="s">
        <v>77</v>
      </c>
      <c r="D8" s="11">
        <v>3</v>
      </c>
      <c r="E8" s="11">
        <v>12</v>
      </c>
      <c r="F8" s="11">
        <v>1</v>
      </c>
      <c r="G8" s="11">
        <v>2</v>
      </c>
      <c r="H8" s="11">
        <v>3</v>
      </c>
      <c r="I8" s="11">
        <v>1.5</v>
      </c>
      <c r="J8" s="11">
        <v>4</v>
      </c>
      <c r="K8" s="11">
        <v>3</v>
      </c>
      <c r="L8" s="11">
        <v>2</v>
      </c>
      <c r="M8" s="11">
        <v>0</v>
      </c>
      <c r="N8" s="11">
        <v>0</v>
      </c>
      <c r="O8" s="11">
        <v>5</v>
      </c>
      <c r="P8" s="11">
        <v>5</v>
      </c>
      <c r="Q8" s="11">
        <v>3</v>
      </c>
      <c r="R8" s="11">
        <v>3</v>
      </c>
      <c r="S8" s="11">
        <v>1.5</v>
      </c>
      <c r="T8" s="11">
        <v>3</v>
      </c>
      <c r="U8" s="47">
        <v>4</v>
      </c>
      <c r="V8" s="48">
        <f t="shared" si="0"/>
        <v>53</v>
      </c>
    </row>
    <row r="9" spans="1:22" ht="18.75" x14ac:dyDescent="0.3">
      <c r="A9" s="2">
        <v>5</v>
      </c>
      <c r="B9" s="4" t="s">
        <v>10</v>
      </c>
      <c r="C9" s="30" t="s">
        <v>11</v>
      </c>
      <c r="D9" s="11">
        <v>3</v>
      </c>
      <c r="E9" s="11">
        <v>10</v>
      </c>
      <c r="F9" s="11">
        <v>1</v>
      </c>
      <c r="G9" s="11">
        <v>1</v>
      </c>
      <c r="H9" s="11">
        <v>0</v>
      </c>
      <c r="I9" s="11">
        <v>2</v>
      </c>
      <c r="J9" s="11">
        <v>1</v>
      </c>
      <c r="K9" s="11">
        <v>3</v>
      </c>
      <c r="L9" s="11">
        <v>1</v>
      </c>
      <c r="M9" s="11">
        <v>0</v>
      </c>
      <c r="N9" s="11">
        <v>0</v>
      </c>
      <c r="O9" s="11">
        <v>5</v>
      </c>
      <c r="P9" s="11">
        <v>5</v>
      </c>
      <c r="Q9" s="11">
        <v>0.5</v>
      </c>
      <c r="R9" s="11">
        <v>0</v>
      </c>
      <c r="S9" s="11">
        <v>0.5</v>
      </c>
      <c r="T9" s="11">
        <v>1</v>
      </c>
      <c r="U9" s="47">
        <v>4</v>
      </c>
      <c r="V9" s="48">
        <f t="shared" si="0"/>
        <v>35</v>
      </c>
    </row>
    <row r="10" spans="1:22" ht="18.75" x14ac:dyDescent="0.3">
      <c r="A10" s="2">
        <v>6</v>
      </c>
      <c r="B10" s="6" t="s">
        <v>78</v>
      </c>
      <c r="C10" s="30" t="s">
        <v>79</v>
      </c>
      <c r="D10" s="11">
        <v>3</v>
      </c>
      <c r="E10" s="11">
        <v>11</v>
      </c>
      <c r="F10" s="11">
        <v>2</v>
      </c>
      <c r="G10" s="11">
        <v>1</v>
      </c>
      <c r="H10" s="11">
        <v>2.5</v>
      </c>
      <c r="I10" s="11">
        <v>1</v>
      </c>
      <c r="J10" s="11">
        <v>1</v>
      </c>
      <c r="K10" s="11">
        <v>3</v>
      </c>
      <c r="L10" s="11">
        <v>0</v>
      </c>
      <c r="M10" s="11">
        <v>0</v>
      </c>
      <c r="N10" s="11">
        <v>0</v>
      </c>
      <c r="O10" s="11">
        <v>4</v>
      </c>
      <c r="P10" s="11">
        <v>2</v>
      </c>
      <c r="Q10" s="11">
        <v>0</v>
      </c>
      <c r="R10" s="11">
        <v>3</v>
      </c>
      <c r="S10" s="11">
        <v>0</v>
      </c>
      <c r="T10" s="11">
        <v>4</v>
      </c>
      <c r="U10" s="47">
        <v>6</v>
      </c>
      <c r="V10" s="48">
        <f t="shared" si="0"/>
        <v>40.5</v>
      </c>
    </row>
    <row r="11" spans="1:22" ht="18.75" x14ac:dyDescent="0.3">
      <c r="A11" s="2">
        <v>7</v>
      </c>
      <c r="B11" s="4" t="s">
        <v>12</v>
      </c>
      <c r="C11" s="30" t="s">
        <v>13</v>
      </c>
      <c r="D11" s="11">
        <v>6</v>
      </c>
      <c r="E11" s="11">
        <v>13</v>
      </c>
      <c r="F11" s="11">
        <v>1</v>
      </c>
      <c r="G11" s="11">
        <v>0.5</v>
      </c>
      <c r="H11" s="11">
        <v>1</v>
      </c>
      <c r="I11" s="11">
        <v>0</v>
      </c>
      <c r="J11" s="11">
        <v>1</v>
      </c>
      <c r="K11" s="11">
        <v>3</v>
      </c>
      <c r="L11" s="11">
        <v>0</v>
      </c>
      <c r="M11" s="11">
        <v>0</v>
      </c>
      <c r="N11" s="11">
        <v>0.5</v>
      </c>
      <c r="O11" s="11">
        <v>5</v>
      </c>
      <c r="P11" s="11">
        <v>5</v>
      </c>
      <c r="Q11" s="11">
        <v>1</v>
      </c>
      <c r="R11" s="11">
        <v>1.5</v>
      </c>
      <c r="S11" s="11">
        <v>0</v>
      </c>
      <c r="T11" s="11">
        <v>3</v>
      </c>
      <c r="U11" s="47">
        <v>3</v>
      </c>
      <c r="V11" s="48">
        <f t="shared" si="0"/>
        <v>38.5</v>
      </c>
    </row>
    <row r="12" spans="1:22" ht="18.75" x14ac:dyDescent="0.3">
      <c r="A12" s="2">
        <v>8</v>
      </c>
      <c r="B12" s="4" t="s">
        <v>14</v>
      </c>
      <c r="C12" s="30" t="s">
        <v>15</v>
      </c>
      <c r="D12" s="11">
        <v>3</v>
      </c>
      <c r="E12" s="11">
        <v>13</v>
      </c>
      <c r="F12" s="11">
        <v>4</v>
      </c>
      <c r="G12" s="11">
        <v>0.5</v>
      </c>
      <c r="H12" s="11">
        <v>1</v>
      </c>
      <c r="I12" s="11">
        <v>0.5</v>
      </c>
      <c r="J12" s="11">
        <v>0.5</v>
      </c>
      <c r="K12" s="11">
        <v>0</v>
      </c>
      <c r="L12" s="11">
        <v>0</v>
      </c>
      <c r="M12" s="11">
        <v>0</v>
      </c>
      <c r="N12" s="11">
        <v>0</v>
      </c>
      <c r="O12" s="11">
        <v>5</v>
      </c>
      <c r="P12" s="11">
        <v>5</v>
      </c>
      <c r="Q12" s="11">
        <v>0</v>
      </c>
      <c r="R12" s="11">
        <v>0</v>
      </c>
      <c r="S12" s="11">
        <v>0</v>
      </c>
      <c r="T12" s="11">
        <v>7</v>
      </c>
      <c r="U12" s="47">
        <v>6</v>
      </c>
      <c r="V12" s="48">
        <f t="shared" si="0"/>
        <v>42.5</v>
      </c>
    </row>
    <row r="13" spans="1:22" ht="15.75" customHeight="1" x14ac:dyDescent="0.3">
      <c r="A13" s="2">
        <v>9</v>
      </c>
      <c r="B13" s="4" t="s">
        <v>16</v>
      </c>
      <c r="C13" s="30" t="s">
        <v>17</v>
      </c>
      <c r="D13" s="11">
        <v>0</v>
      </c>
      <c r="E13" s="11">
        <v>13</v>
      </c>
      <c r="F13" s="11">
        <v>5</v>
      </c>
      <c r="G13" s="11">
        <v>2.5</v>
      </c>
      <c r="H13" s="11">
        <v>2.5</v>
      </c>
      <c r="I13" s="11">
        <v>3</v>
      </c>
      <c r="J13" s="11">
        <v>2</v>
      </c>
      <c r="K13" s="11">
        <v>3</v>
      </c>
      <c r="L13" s="11">
        <v>1</v>
      </c>
      <c r="M13" s="11">
        <v>0</v>
      </c>
      <c r="N13" s="11">
        <v>0</v>
      </c>
      <c r="O13" s="11">
        <v>5</v>
      </c>
      <c r="P13" s="11">
        <v>5</v>
      </c>
      <c r="Q13" s="11">
        <v>0</v>
      </c>
      <c r="R13" s="11">
        <v>3</v>
      </c>
      <c r="S13" s="11">
        <v>0</v>
      </c>
      <c r="T13" s="11">
        <v>5</v>
      </c>
      <c r="U13" s="47">
        <v>6</v>
      </c>
      <c r="V13" s="48">
        <f t="shared" si="0"/>
        <v>56</v>
      </c>
    </row>
    <row r="14" spans="1:22" ht="15.75" customHeight="1" x14ac:dyDescent="0.3">
      <c r="A14" s="2">
        <v>0</v>
      </c>
      <c r="B14" s="4" t="s">
        <v>18</v>
      </c>
      <c r="C14" s="30" t="s">
        <v>19</v>
      </c>
      <c r="D14" s="11">
        <v>8</v>
      </c>
      <c r="E14" s="11">
        <v>13</v>
      </c>
      <c r="F14" s="11">
        <v>3</v>
      </c>
      <c r="G14" s="11">
        <v>2.5</v>
      </c>
      <c r="H14" s="11">
        <v>2</v>
      </c>
      <c r="I14" s="11">
        <v>3</v>
      </c>
      <c r="J14" s="11">
        <v>4</v>
      </c>
      <c r="K14" s="11">
        <v>3</v>
      </c>
      <c r="L14" s="11">
        <v>5</v>
      </c>
      <c r="M14" s="11">
        <v>3.5</v>
      </c>
      <c r="N14" s="11">
        <v>0.5</v>
      </c>
      <c r="O14" s="11">
        <v>5</v>
      </c>
      <c r="P14" s="11">
        <v>5</v>
      </c>
      <c r="Q14" s="11">
        <v>3</v>
      </c>
      <c r="R14" s="11">
        <v>3</v>
      </c>
      <c r="S14" s="11">
        <v>0.5</v>
      </c>
      <c r="T14" s="11">
        <v>5</v>
      </c>
      <c r="U14" s="47">
        <v>5.5</v>
      </c>
      <c r="V14" s="48">
        <f t="shared" si="0"/>
        <v>66.5</v>
      </c>
    </row>
    <row r="15" spans="1:22" ht="15.75" customHeight="1" x14ac:dyDescent="0.3">
      <c r="A15" s="2">
        <v>11</v>
      </c>
      <c r="B15" s="4" t="s">
        <v>20</v>
      </c>
      <c r="C15" s="30" t="s">
        <v>21</v>
      </c>
      <c r="D15" s="11"/>
      <c r="E15" s="11">
        <v>13</v>
      </c>
      <c r="F15" s="11">
        <v>1</v>
      </c>
      <c r="G15" s="11">
        <v>1.5</v>
      </c>
      <c r="H15" s="11">
        <v>0</v>
      </c>
      <c r="I15" s="11">
        <v>2.5</v>
      </c>
      <c r="J15" s="11">
        <v>5</v>
      </c>
      <c r="K15" s="11">
        <v>0.5</v>
      </c>
      <c r="L15" s="11">
        <v>5</v>
      </c>
      <c r="M15" s="11">
        <v>0</v>
      </c>
      <c r="N15" s="11">
        <v>0</v>
      </c>
      <c r="O15" s="11">
        <v>5</v>
      </c>
      <c r="P15" s="11">
        <v>5</v>
      </c>
      <c r="Q15" s="11">
        <v>0</v>
      </c>
      <c r="R15" s="11">
        <v>2</v>
      </c>
      <c r="S15" s="11">
        <v>0.5</v>
      </c>
      <c r="T15" s="11">
        <v>2</v>
      </c>
      <c r="U15" s="47">
        <v>6</v>
      </c>
      <c r="V15" s="48">
        <f t="shared" si="0"/>
        <v>49</v>
      </c>
    </row>
    <row r="16" spans="1:22" ht="15.75" customHeight="1" x14ac:dyDescent="0.3">
      <c r="A16" s="2">
        <v>12</v>
      </c>
      <c r="B16" s="4" t="s">
        <v>22</v>
      </c>
      <c r="C16" s="30" t="s">
        <v>23</v>
      </c>
      <c r="D16" s="11">
        <v>0</v>
      </c>
      <c r="E16" s="11">
        <v>7</v>
      </c>
      <c r="F16" s="11">
        <v>1</v>
      </c>
      <c r="G16" s="11">
        <v>0.5</v>
      </c>
      <c r="H16" s="11">
        <v>0</v>
      </c>
      <c r="I16" s="11">
        <v>0</v>
      </c>
      <c r="J16" s="11">
        <v>0.5</v>
      </c>
      <c r="K16" s="11">
        <v>3</v>
      </c>
      <c r="L16" s="11">
        <v>0</v>
      </c>
      <c r="M16" s="11">
        <v>0</v>
      </c>
      <c r="N16" s="11">
        <v>0</v>
      </c>
      <c r="O16" s="11">
        <v>5</v>
      </c>
      <c r="P16" s="11">
        <v>5</v>
      </c>
      <c r="Q16" s="11">
        <v>0</v>
      </c>
      <c r="R16" s="11">
        <v>0</v>
      </c>
      <c r="S16" s="11">
        <v>0</v>
      </c>
      <c r="T16" s="11">
        <v>4</v>
      </c>
      <c r="U16" s="47">
        <v>2</v>
      </c>
      <c r="V16" s="48">
        <f t="shared" si="0"/>
        <v>28</v>
      </c>
    </row>
    <row r="17" spans="1:22" ht="15.75" customHeight="1" x14ac:dyDescent="0.3">
      <c r="A17" s="2">
        <v>13</v>
      </c>
      <c r="B17" s="4" t="s">
        <v>24</v>
      </c>
      <c r="C17" s="30" t="s">
        <v>25</v>
      </c>
      <c r="D17" s="11">
        <v>0</v>
      </c>
      <c r="E17" s="11">
        <v>6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4</v>
      </c>
      <c r="P17" s="11">
        <v>4</v>
      </c>
      <c r="Q17" s="11">
        <v>0</v>
      </c>
      <c r="R17" s="11">
        <v>1</v>
      </c>
      <c r="S17" s="11">
        <v>0</v>
      </c>
      <c r="T17" s="11">
        <v>0</v>
      </c>
      <c r="U17" s="47">
        <v>2.5</v>
      </c>
      <c r="V17" s="48">
        <f t="shared" si="0"/>
        <v>19.5</v>
      </c>
    </row>
    <row r="18" spans="1:22" ht="15.75" customHeight="1" x14ac:dyDescent="0.3">
      <c r="A18" s="2">
        <v>14</v>
      </c>
      <c r="B18" s="4" t="s">
        <v>26</v>
      </c>
      <c r="C18" s="30" t="s">
        <v>27</v>
      </c>
      <c r="D18" s="11">
        <v>0</v>
      </c>
      <c r="E18" s="11">
        <v>13</v>
      </c>
      <c r="F18" s="11">
        <v>1</v>
      </c>
      <c r="G18" s="11">
        <v>1</v>
      </c>
      <c r="H18" s="11">
        <v>0</v>
      </c>
      <c r="I18" s="11">
        <v>0</v>
      </c>
      <c r="J18" s="11">
        <v>0</v>
      </c>
      <c r="K18" s="11">
        <v>2.5</v>
      </c>
      <c r="L18" s="11">
        <v>0</v>
      </c>
      <c r="M18" s="11">
        <v>0</v>
      </c>
      <c r="N18" s="11">
        <v>1.5</v>
      </c>
      <c r="O18" s="11">
        <v>5</v>
      </c>
      <c r="P18" s="11">
        <v>5</v>
      </c>
      <c r="Q18" s="11">
        <v>0</v>
      </c>
      <c r="R18" s="11">
        <v>0</v>
      </c>
      <c r="S18" s="11">
        <v>0</v>
      </c>
      <c r="T18" s="11">
        <v>4</v>
      </c>
      <c r="U18" s="47">
        <v>4</v>
      </c>
      <c r="V18" s="48">
        <f t="shared" si="0"/>
        <v>37</v>
      </c>
    </row>
    <row r="19" spans="1:22" ht="15.75" customHeight="1" x14ac:dyDescent="0.3">
      <c r="A19" s="2">
        <v>15</v>
      </c>
      <c r="B19" s="4" t="s">
        <v>28</v>
      </c>
      <c r="C19" s="30" t="s">
        <v>29</v>
      </c>
      <c r="D19" s="11"/>
      <c r="E19" s="11">
        <v>11</v>
      </c>
      <c r="F19" s="11">
        <v>1</v>
      </c>
      <c r="G19" s="11">
        <v>1.5</v>
      </c>
      <c r="H19" s="11">
        <v>0.5</v>
      </c>
      <c r="I19" s="11">
        <v>0.5</v>
      </c>
      <c r="J19" s="11">
        <v>0.5</v>
      </c>
      <c r="K19" s="11">
        <v>3</v>
      </c>
      <c r="L19" s="11">
        <v>0</v>
      </c>
      <c r="M19" s="11">
        <v>1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47">
        <v>5</v>
      </c>
      <c r="V19" s="48">
        <f t="shared" si="0"/>
        <v>24</v>
      </c>
    </row>
    <row r="20" spans="1:22" ht="15.75" customHeight="1" x14ac:dyDescent="0.3">
      <c r="A20" s="2">
        <v>16</v>
      </c>
      <c r="B20" s="4" t="s">
        <v>30</v>
      </c>
      <c r="C20" s="30" t="s">
        <v>31</v>
      </c>
      <c r="D20" s="11">
        <v>6</v>
      </c>
      <c r="E20" s="11">
        <v>10</v>
      </c>
      <c r="F20" s="11">
        <v>3</v>
      </c>
      <c r="G20" s="11">
        <v>1</v>
      </c>
      <c r="H20" s="11">
        <v>2</v>
      </c>
      <c r="I20" s="11">
        <v>3</v>
      </c>
      <c r="J20" s="11">
        <v>1</v>
      </c>
      <c r="K20" s="11">
        <v>0</v>
      </c>
      <c r="L20" s="11">
        <v>0</v>
      </c>
      <c r="M20" s="11">
        <v>0</v>
      </c>
      <c r="N20" s="11">
        <v>0</v>
      </c>
      <c r="O20" s="11">
        <v>5</v>
      </c>
      <c r="P20" s="11">
        <v>4</v>
      </c>
      <c r="Q20" s="11">
        <v>0</v>
      </c>
      <c r="R20" s="11">
        <v>0</v>
      </c>
      <c r="S20" s="11">
        <v>0.5</v>
      </c>
      <c r="T20" s="11">
        <v>4</v>
      </c>
      <c r="U20" s="47">
        <v>5</v>
      </c>
      <c r="V20" s="48">
        <f t="shared" si="0"/>
        <v>38.5</v>
      </c>
    </row>
    <row r="21" spans="1:22" ht="15.75" customHeight="1" x14ac:dyDescent="0.3">
      <c r="A21" s="2">
        <v>17</v>
      </c>
      <c r="B21" s="4" t="s">
        <v>32</v>
      </c>
      <c r="C21" s="30" t="s">
        <v>33</v>
      </c>
      <c r="D21" s="11">
        <v>0</v>
      </c>
      <c r="E21" s="11">
        <v>10</v>
      </c>
      <c r="F21" s="11">
        <v>1</v>
      </c>
      <c r="G21" s="11">
        <v>0.5</v>
      </c>
      <c r="H21" s="11">
        <v>0</v>
      </c>
      <c r="I21" s="11">
        <v>0.5</v>
      </c>
      <c r="J21" s="11">
        <v>0.5</v>
      </c>
      <c r="K21" s="11">
        <v>3</v>
      </c>
      <c r="L21" s="11">
        <v>0.5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3</v>
      </c>
      <c r="S21" s="11">
        <v>0.5</v>
      </c>
      <c r="T21" s="11">
        <v>5</v>
      </c>
      <c r="U21" s="47">
        <v>1.5</v>
      </c>
      <c r="V21" s="48">
        <f t="shared" si="0"/>
        <v>26</v>
      </c>
    </row>
    <row r="22" spans="1:22" ht="15.75" customHeight="1" x14ac:dyDescent="0.3">
      <c r="A22" s="2">
        <v>18</v>
      </c>
      <c r="B22" s="4" t="s">
        <v>34</v>
      </c>
      <c r="C22" s="30" t="s">
        <v>35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47"/>
      <c r="V22" s="48">
        <f t="shared" si="0"/>
        <v>0</v>
      </c>
    </row>
    <row r="23" spans="1:22" ht="15.75" customHeight="1" x14ac:dyDescent="0.3">
      <c r="A23" s="2">
        <v>19</v>
      </c>
      <c r="B23" s="4" t="s">
        <v>36</v>
      </c>
      <c r="C23" s="30" t="s">
        <v>37</v>
      </c>
      <c r="D23" s="11"/>
      <c r="E23" s="11">
        <v>13</v>
      </c>
      <c r="F23" s="11">
        <v>1</v>
      </c>
      <c r="G23" s="11">
        <v>0.5</v>
      </c>
      <c r="H23" s="11">
        <v>1</v>
      </c>
      <c r="I23" s="11">
        <v>0</v>
      </c>
      <c r="J23" s="11">
        <v>0.5</v>
      </c>
      <c r="K23" s="11">
        <v>2.5</v>
      </c>
      <c r="L23" s="11">
        <v>0.5</v>
      </c>
      <c r="M23" s="11">
        <v>0</v>
      </c>
      <c r="N23" s="11">
        <v>0</v>
      </c>
      <c r="O23" s="11">
        <v>5</v>
      </c>
      <c r="P23" s="11">
        <v>5</v>
      </c>
      <c r="Q23" s="11">
        <v>0</v>
      </c>
      <c r="R23" s="11">
        <v>3</v>
      </c>
      <c r="S23" s="11">
        <v>0.5</v>
      </c>
      <c r="T23" s="11">
        <v>3</v>
      </c>
      <c r="U23" s="47">
        <v>3.5</v>
      </c>
      <c r="V23" s="48">
        <f t="shared" si="0"/>
        <v>39</v>
      </c>
    </row>
    <row r="24" spans="1:22" ht="15.75" customHeight="1" x14ac:dyDescent="0.3">
      <c r="A24" s="2">
        <v>20</v>
      </c>
      <c r="B24" s="4" t="s">
        <v>38</v>
      </c>
      <c r="C24" s="30" t="s">
        <v>39</v>
      </c>
      <c r="D24" s="11"/>
      <c r="E24" s="11">
        <v>10</v>
      </c>
      <c r="F24" s="11">
        <v>1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2</v>
      </c>
      <c r="U24" s="47">
        <v>3.5</v>
      </c>
      <c r="V24" s="48">
        <f t="shared" si="0"/>
        <v>16.5</v>
      </c>
    </row>
    <row r="25" spans="1:22" ht="15.75" customHeight="1" x14ac:dyDescent="0.3">
      <c r="A25" s="2">
        <v>21</v>
      </c>
      <c r="B25" s="4" t="s">
        <v>40</v>
      </c>
      <c r="C25" s="30" t="s">
        <v>41</v>
      </c>
      <c r="D25" s="11">
        <v>6</v>
      </c>
      <c r="E25" s="11">
        <v>9</v>
      </c>
      <c r="F25" s="11">
        <v>2</v>
      </c>
      <c r="G25" s="11">
        <v>0</v>
      </c>
      <c r="H25" s="11">
        <v>0</v>
      </c>
      <c r="I25" s="11">
        <v>0</v>
      </c>
      <c r="J25" s="11">
        <v>0</v>
      </c>
      <c r="K25" s="11">
        <v>3</v>
      </c>
      <c r="L25" s="11">
        <v>2.5</v>
      </c>
      <c r="M25" s="11">
        <v>0</v>
      </c>
      <c r="N25" s="11">
        <v>0</v>
      </c>
      <c r="O25" s="11">
        <v>3</v>
      </c>
      <c r="P25" s="11">
        <v>2</v>
      </c>
      <c r="Q25" s="11">
        <v>0</v>
      </c>
      <c r="R25" s="11">
        <v>0</v>
      </c>
      <c r="S25" s="11">
        <v>2.5</v>
      </c>
      <c r="T25" s="11">
        <v>3</v>
      </c>
      <c r="U25" s="47">
        <v>2.5</v>
      </c>
      <c r="V25" s="48">
        <f t="shared" si="0"/>
        <v>29.5</v>
      </c>
    </row>
    <row r="26" spans="1:22" ht="15.75" customHeight="1" x14ac:dyDescent="0.3">
      <c r="A26" s="2">
        <v>22</v>
      </c>
      <c r="B26" s="6" t="s">
        <v>120</v>
      </c>
      <c r="C26" s="30" t="s">
        <v>121</v>
      </c>
      <c r="D26" s="11">
        <v>0</v>
      </c>
      <c r="E26" s="11">
        <v>9</v>
      </c>
      <c r="F26" s="11">
        <v>1</v>
      </c>
      <c r="G26" s="11">
        <v>2</v>
      </c>
      <c r="H26" s="11">
        <v>0.5</v>
      </c>
      <c r="I26" s="11">
        <v>1</v>
      </c>
      <c r="J26" s="11">
        <v>2.5</v>
      </c>
      <c r="K26" s="11">
        <v>2</v>
      </c>
      <c r="L26" s="11">
        <v>2.5</v>
      </c>
      <c r="M26" s="11">
        <v>0</v>
      </c>
      <c r="N26" s="11">
        <v>0</v>
      </c>
      <c r="O26" s="11">
        <v>5</v>
      </c>
      <c r="P26" s="11">
        <v>5</v>
      </c>
      <c r="Q26" s="11">
        <v>0</v>
      </c>
      <c r="R26" s="11">
        <v>2.5</v>
      </c>
      <c r="S26" s="11">
        <v>0</v>
      </c>
      <c r="T26" s="11">
        <v>1</v>
      </c>
      <c r="U26" s="47">
        <v>2</v>
      </c>
      <c r="V26" s="48">
        <f t="shared" si="0"/>
        <v>36</v>
      </c>
    </row>
    <row r="27" spans="1:22" ht="15.75" customHeight="1" x14ac:dyDescent="0.3">
      <c r="A27" s="2">
        <v>23</v>
      </c>
      <c r="B27" s="4" t="s">
        <v>42</v>
      </c>
      <c r="C27" s="30" t="s">
        <v>43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47"/>
      <c r="V27" s="48">
        <f t="shared" si="0"/>
        <v>0</v>
      </c>
    </row>
    <row r="28" spans="1:22" ht="15.75" customHeight="1" x14ac:dyDescent="0.3">
      <c r="A28" s="2">
        <v>24</v>
      </c>
      <c r="B28" s="4" t="s">
        <v>44</v>
      </c>
      <c r="C28" s="30" t="s">
        <v>45</v>
      </c>
      <c r="D28" s="11"/>
      <c r="E28" s="11">
        <v>11</v>
      </c>
      <c r="F28" s="11">
        <v>3</v>
      </c>
      <c r="G28" s="11">
        <v>3</v>
      </c>
      <c r="H28" s="11">
        <v>3</v>
      </c>
      <c r="I28" s="11">
        <v>2.5</v>
      </c>
      <c r="J28" s="11">
        <v>0</v>
      </c>
      <c r="K28" s="11">
        <v>0</v>
      </c>
      <c r="L28" s="11">
        <v>0.5</v>
      </c>
      <c r="M28" s="11">
        <v>0</v>
      </c>
      <c r="N28" s="11">
        <v>0</v>
      </c>
      <c r="O28" s="11">
        <v>5</v>
      </c>
      <c r="P28" s="11">
        <v>5</v>
      </c>
      <c r="Q28" s="11">
        <v>0</v>
      </c>
      <c r="R28" s="11">
        <v>0</v>
      </c>
      <c r="S28" s="11">
        <v>0.5</v>
      </c>
      <c r="T28" s="11">
        <v>3</v>
      </c>
      <c r="U28" s="47">
        <v>3.5</v>
      </c>
      <c r="V28" s="48">
        <f t="shared" si="0"/>
        <v>40</v>
      </c>
    </row>
    <row r="29" spans="1:22" ht="15.75" customHeight="1" x14ac:dyDescent="0.3">
      <c r="A29" s="2">
        <v>25</v>
      </c>
      <c r="B29" s="4" t="s">
        <v>46</v>
      </c>
      <c r="C29" s="30" t="s">
        <v>47</v>
      </c>
      <c r="D29" s="11"/>
      <c r="E29" s="11">
        <v>11</v>
      </c>
      <c r="F29" s="11">
        <v>0</v>
      </c>
      <c r="G29" s="11">
        <v>1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0</v>
      </c>
      <c r="N29" s="11">
        <v>0</v>
      </c>
      <c r="O29" s="11">
        <v>5</v>
      </c>
      <c r="P29" s="11">
        <v>4</v>
      </c>
      <c r="Q29" s="11">
        <v>0</v>
      </c>
      <c r="R29" s="11">
        <v>0</v>
      </c>
      <c r="S29" s="11">
        <v>0</v>
      </c>
      <c r="T29" s="11">
        <v>3</v>
      </c>
      <c r="U29" s="47">
        <v>5</v>
      </c>
      <c r="V29" s="48">
        <f t="shared" si="0"/>
        <v>31</v>
      </c>
    </row>
    <row r="30" spans="1:22" ht="15.75" customHeight="1" x14ac:dyDescent="0.3">
      <c r="A30" s="2">
        <v>26</v>
      </c>
      <c r="B30" s="4" t="s">
        <v>64</v>
      </c>
      <c r="C30" s="30" t="s">
        <v>65</v>
      </c>
      <c r="D30" s="11">
        <v>6</v>
      </c>
      <c r="E30" s="11">
        <v>12</v>
      </c>
      <c r="F30" s="11">
        <v>4</v>
      </c>
      <c r="G30" s="11">
        <v>2.5</v>
      </c>
      <c r="H30" s="11">
        <v>2.5</v>
      </c>
      <c r="I30" s="11">
        <v>2</v>
      </c>
      <c r="J30" s="11">
        <v>0</v>
      </c>
      <c r="K30" s="11">
        <v>2.5</v>
      </c>
      <c r="L30" s="11">
        <v>2</v>
      </c>
      <c r="M30" s="11">
        <v>0</v>
      </c>
      <c r="N30" s="11">
        <v>4</v>
      </c>
      <c r="O30" s="11">
        <v>5</v>
      </c>
      <c r="P30" s="11">
        <v>5</v>
      </c>
      <c r="Q30" s="11">
        <v>1.5</v>
      </c>
      <c r="R30" s="11">
        <v>0</v>
      </c>
      <c r="S30" s="11">
        <v>0</v>
      </c>
      <c r="T30" s="11">
        <v>6</v>
      </c>
      <c r="U30" s="47">
        <v>5.5</v>
      </c>
      <c r="V30" s="48">
        <f t="shared" si="0"/>
        <v>54.5</v>
      </c>
    </row>
    <row r="31" spans="1:22" ht="15.75" customHeight="1" x14ac:dyDescent="0.3">
      <c r="A31" s="2">
        <v>27</v>
      </c>
      <c r="B31" s="4" t="s">
        <v>66</v>
      </c>
      <c r="C31" s="30" t="s">
        <v>67</v>
      </c>
      <c r="D31" s="11"/>
      <c r="E31" s="11">
        <v>8</v>
      </c>
      <c r="F31" s="11">
        <v>1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1</v>
      </c>
      <c r="S31" s="11">
        <v>0</v>
      </c>
      <c r="T31" s="11">
        <v>0</v>
      </c>
      <c r="U31" s="47">
        <v>2.5</v>
      </c>
      <c r="V31" s="48">
        <f t="shared" si="0"/>
        <v>12.5</v>
      </c>
    </row>
    <row r="32" spans="1:22" ht="15.75" customHeight="1" x14ac:dyDescent="0.3">
      <c r="A32" s="2">
        <v>28</v>
      </c>
      <c r="B32" s="4" t="s">
        <v>68</v>
      </c>
      <c r="C32" s="30" t="s">
        <v>69</v>
      </c>
      <c r="D32" s="11">
        <v>2.5</v>
      </c>
      <c r="E32" s="11">
        <v>9</v>
      </c>
      <c r="F32" s="11">
        <v>1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2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1</v>
      </c>
      <c r="U32" s="47">
        <v>1.5</v>
      </c>
      <c r="V32" s="48">
        <f t="shared" si="0"/>
        <v>14.5</v>
      </c>
    </row>
    <row r="33" spans="1:22" ht="15.75" customHeight="1" x14ac:dyDescent="0.3">
      <c r="A33" s="2">
        <v>29</v>
      </c>
      <c r="B33" s="4" t="s">
        <v>70</v>
      </c>
      <c r="C33" s="30" t="s">
        <v>71</v>
      </c>
      <c r="D33" s="11"/>
      <c r="E33" s="11">
        <v>13</v>
      </c>
      <c r="F33" s="11">
        <v>2</v>
      </c>
      <c r="G33" s="11">
        <v>0.5</v>
      </c>
      <c r="H33" s="11">
        <v>3</v>
      </c>
      <c r="I33" s="11">
        <v>2</v>
      </c>
      <c r="J33" s="11">
        <v>2</v>
      </c>
      <c r="K33" s="11">
        <v>0</v>
      </c>
      <c r="L33" s="11">
        <v>2</v>
      </c>
      <c r="M33" s="11">
        <v>0.5</v>
      </c>
      <c r="N33" s="11">
        <v>0</v>
      </c>
      <c r="O33" s="11">
        <v>5</v>
      </c>
      <c r="P33" s="11">
        <v>4</v>
      </c>
      <c r="Q33" s="11">
        <v>0</v>
      </c>
      <c r="R33" s="11">
        <v>3</v>
      </c>
      <c r="S33" s="11">
        <v>1.5</v>
      </c>
      <c r="T33" s="11">
        <v>5</v>
      </c>
      <c r="U33" s="47">
        <v>5</v>
      </c>
      <c r="V33" s="48">
        <f t="shared" si="0"/>
        <v>48.5</v>
      </c>
    </row>
    <row r="34" spans="1:22" ht="15.75" customHeight="1" x14ac:dyDescent="0.3">
      <c r="A34" s="2">
        <v>30</v>
      </c>
      <c r="B34" s="5" t="s">
        <v>72</v>
      </c>
      <c r="C34" s="29" t="s">
        <v>73</v>
      </c>
      <c r="D34" s="11">
        <v>6</v>
      </c>
      <c r="E34" s="11">
        <v>11</v>
      </c>
      <c r="F34" s="11">
        <v>0</v>
      </c>
      <c r="G34" s="11">
        <v>2.5</v>
      </c>
      <c r="H34" s="11">
        <v>0</v>
      </c>
      <c r="I34" s="11">
        <v>3</v>
      </c>
      <c r="J34" s="11">
        <v>0</v>
      </c>
      <c r="K34" s="11">
        <v>1.5</v>
      </c>
      <c r="L34" s="11">
        <v>0</v>
      </c>
      <c r="M34" s="11">
        <v>0</v>
      </c>
      <c r="N34" s="11">
        <v>0</v>
      </c>
      <c r="O34" s="11">
        <v>5</v>
      </c>
      <c r="P34" s="11">
        <v>5</v>
      </c>
      <c r="Q34" s="11">
        <v>0</v>
      </c>
      <c r="R34" s="11">
        <v>0</v>
      </c>
      <c r="S34" s="11">
        <v>0</v>
      </c>
      <c r="T34" s="11">
        <v>3</v>
      </c>
      <c r="U34" s="47">
        <v>4.5</v>
      </c>
      <c r="V34" s="48">
        <f t="shared" si="0"/>
        <v>35.5</v>
      </c>
    </row>
    <row r="35" spans="1:22" ht="15.75" customHeight="1" x14ac:dyDescent="0.3">
      <c r="A35" s="2">
        <v>31</v>
      </c>
      <c r="B35" s="4" t="s">
        <v>48</v>
      </c>
      <c r="C35" s="30" t="s">
        <v>49</v>
      </c>
      <c r="D35" s="11">
        <v>6</v>
      </c>
      <c r="E35" s="11">
        <v>9</v>
      </c>
      <c r="F35" s="11">
        <v>1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5</v>
      </c>
      <c r="P35" s="11">
        <v>4</v>
      </c>
      <c r="Q35" s="11">
        <v>0</v>
      </c>
      <c r="R35" s="11">
        <v>0</v>
      </c>
      <c r="S35" s="11">
        <v>0</v>
      </c>
      <c r="T35" s="11">
        <v>3</v>
      </c>
      <c r="U35" s="47">
        <v>2.5</v>
      </c>
      <c r="V35" s="48">
        <f t="shared" si="0"/>
        <v>24.5</v>
      </c>
    </row>
    <row r="36" spans="1:22" ht="15.75" customHeight="1" x14ac:dyDescent="0.3">
      <c r="A36" s="2">
        <v>32</v>
      </c>
      <c r="B36" s="4" t="s">
        <v>50</v>
      </c>
      <c r="C36" s="30" t="s">
        <v>51</v>
      </c>
      <c r="D36" s="11"/>
      <c r="E36" s="11">
        <v>13</v>
      </c>
      <c r="F36" s="11">
        <v>3</v>
      </c>
      <c r="G36" s="11">
        <v>1.5</v>
      </c>
      <c r="H36" s="11">
        <v>0.5</v>
      </c>
      <c r="I36" s="11">
        <v>2</v>
      </c>
      <c r="J36" s="11">
        <v>2.5</v>
      </c>
      <c r="K36" s="11">
        <v>0</v>
      </c>
      <c r="L36" s="11">
        <v>2</v>
      </c>
      <c r="M36" s="11">
        <v>1</v>
      </c>
      <c r="N36" s="11">
        <v>0</v>
      </c>
      <c r="O36" s="11">
        <v>5</v>
      </c>
      <c r="P36" s="11">
        <v>4</v>
      </c>
      <c r="Q36" s="11">
        <v>0</v>
      </c>
      <c r="R36" s="11">
        <v>0</v>
      </c>
      <c r="S36" s="11">
        <v>0</v>
      </c>
      <c r="T36" s="11">
        <v>5</v>
      </c>
      <c r="U36" s="47">
        <v>4.5</v>
      </c>
      <c r="V36" s="48">
        <f t="shared" si="0"/>
        <v>44</v>
      </c>
    </row>
    <row r="37" spans="1:22" ht="15.75" customHeight="1" x14ac:dyDescent="0.3">
      <c r="A37" s="2">
        <v>33</v>
      </c>
      <c r="B37" s="4" t="s">
        <v>52</v>
      </c>
      <c r="C37" s="30" t="s">
        <v>53</v>
      </c>
      <c r="D37" s="11">
        <v>6</v>
      </c>
      <c r="E37" s="11">
        <v>10</v>
      </c>
      <c r="F37" s="11">
        <v>0</v>
      </c>
      <c r="G37" s="11">
        <v>1</v>
      </c>
      <c r="H37" s="11">
        <v>0.5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5</v>
      </c>
      <c r="P37" s="11">
        <v>2</v>
      </c>
      <c r="Q37" s="11">
        <v>0</v>
      </c>
      <c r="R37" s="11">
        <v>0</v>
      </c>
      <c r="S37" s="11">
        <v>0</v>
      </c>
      <c r="T37" s="11">
        <v>5</v>
      </c>
      <c r="U37" s="47">
        <v>5</v>
      </c>
      <c r="V37" s="48">
        <f t="shared" si="0"/>
        <v>28.5</v>
      </c>
    </row>
    <row r="38" spans="1:22" ht="15.75" customHeight="1" x14ac:dyDescent="0.3">
      <c r="A38" s="2">
        <v>34</v>
      </c>
      <c r="B38" s="4" t="s">
        <v>54</v>
      </c>
      <c r="C38" s="30" t="s">
        <v>55</v>
      </c>
      <c r="D38" s="11">
        <v>2</v>
      </c>
      <c r="E38" s="11">
        <v>10</v>
      </c>
      <c r="F38" s="11">
        <v>0</v>
      </c>
      <c r="G38" s="11">
        <v>0.5</v>
      </c>
      <c r="H38" s="11">
        <v>0</v>
      </c>
      <c r="I38" s="11">
        <v>0.5</v>
      </c>
      <c r="J38" s="11">
        <v>2.5</v>
      </c>
      <c r="K38" s="11">
        <v>3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1</v>
      </c>
      <c r="S38" s="11">
        <v>0</v>
      </c>
      <c r="T38" s="11">
        <v>2</v>
      </c>
      <c r="U38" s="47">
        <v>3</v>
      </c>
      <c r="V38" s="48">
        <f t="shared" si="0"/>
        <v>22.5</v>
      </c>
    </row>
    <row r="39" spans="1:22" ht="15.75" customHeight="1" x14ac:dyDescent="0.3">
      <c r="A39" s="2">
        <v>35</v>
      </c>
      <c r="B39" s="4" t="s">
        <v>56</v>
      </c>
      <c r="C39" s="30" t="s">
        <v>57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47"/>
      <c r="V39" s="48">
        <f t="shared" si="0"/>
        <v>0</v>
      </c>
    </row>
    <row r="40" spans="1:22" ht="15.75" customHeight="1" x14ac:dyDescent="0.3">
      <c r="A40" s="2">
        <v>36</v>
      </c>
      <c r="B40" s="4" t="s">
        <v>58</v>
      </c>
      <c r="C40" s="30" t="s">
        <v>59</v>
      </c>
      <c r="D40" s="11"/>
      <c r="E40" s="11">
        <v>10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47">
        <v>1.5</v>
      </c>
      <c r="V40" s="48">
        <f t="shared" si="0"/>
        <v>11.5</v>
      </c>
    </row>
    <row r="41" spans="1:22" ht="15.75" customHeight="1" x14ac:dyDescent="0.3">
      <c r="A41" s="2">
        <v>37</v>
      </c>
      <c r="B41" s="4" t="s">
        <v>62</v>
      </c>
      <c r="C41" s="30" t="s">
        <v>63</v>
      </c>
      <c r="D41" s="11">
        <v>6</v>
      </c>
      <c r="E41" s="11">
        <v>12</v>
      </c>
      <c r="F41" s="11">
        <v>1</v>
      </c>
      <c r="G41" s="11">
        <v>0.5</v>
      </c>
      <c r="H41" s="11">
        <v>3</v>
      </c>
      <c r="I41" s="11">
        <v>0</v>
      </c>
      <c r="J41" s="11">
        <v>2.5</v>
      </c>
      <c r="K41" s="11">
        <v>0</v>
      </c>
      <c r="L41" s="11">
        <v>0</v>
      </c>
      <c r="M41" s="11">
        <v>0</v>
      </c>
      <c r="N41" s="11">
        <v>0</v>
      </c>
      <c r="O41" s="11">
        <v>4</v>
      </c>
      <c r="P41" s="11">
        <v>4</v>
      </c>
      <c r="Q41" s="11">
        <v>0</v>
      </c>
      <c r="R41" s="11">
        <v>3</v>
      </c>
      <c r="S41" s="11">
        <v>0</v>
      </c>
      <c r="T41" s="11">
        <v>5</v>
      </c>
      <c r="U41" s="47">
        <v>3.5</v>
      </c>
      <c r="V41" s="48">
        <f t="shared" si="0"/>
        <v>38.5</v>
      </c>
    </row>
    <row r="42" spans="1:22" ht="15.75" customHeight="1" x14ac:dyDescent="0.3">
      <c r="A42" s="2">
        <v>38</v>
      </c>
      <c r="B42" s="15" t="s">
        <v>80</v>
      </c>
      <c r="C42" s="31" t="s">
        <v>81</v>
      </c>
      <c r="D42" s="11">
        <v>0</v>
      </c>
      <c r="E42" s="11">
        <v>5</v>
      </c>
      <c r="F42" s="11">
        <v>0</v>
      </c>
      <c r="G42" s="11">
        <v>0</v>
      </c>
      <c r="H42" s="11">
        <v>0</v>
      </c>
      <c r="I42" s="11">
        <v>0.5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1</v>
      </c>
      <c r="U42" s="47">
        <v>1</v>
      </c>
      <c r="V42" s="48">
        <f t="shared" si="0"/>
        <v>7.5</v>
      </c>
    </row>
    <row r="43" spans="1:22" ht="15.75" customHeight="1" x14ac:dyDescent="0.3">
      <c r="A43" s="2">
        <v>39</v>
      </c>
      <c r="B43" s="16" t="s">
        <v>243</v>
      </c>
      <c r="C43" s="32" t="s">
        <v>244</v>
      </c>
      <c r="D43" s="11"/>
      <c r="E43" s="11">
        <v>11</v>
      </c>
      <c r="F43" s="11">
        <v>1</v>
      </c>
      <c r="G43" s="11">
        <v>1</v>
      </c>
      <c r="H43" s="11">
        <v>0</v>
      </c>
      <c r="I43" s="11">
        <v>0.5</v>
      </c>
      <c r="J43" s="11">
        <v>0</v>
      </c>
      <c r="K43" s="11">
        <v>3</v>
      </c>
      <c r="L43" s="11">
        <v>1</v>
      </c>
      <c r="M43" s="11">
        <v>0</v>
      </c>
      <c r="N43" s="11">
        <v>0</v>
      </c>
      <c r="O43" s="11">
        <v>5</v>
      </c>
      <c r="P43" s="11">
        <v>5</v>
      </c>
      <c r="Q43" s="11">
        <v>0</v>
      </c>
      <c r="R43" s="11">
        <v>0</v>
      </c>
      <c r="S43" s="11">
        <v>0</v>
      </c>
      <c r="T43" s="11">
        <v>7</v>
      </c>
      <c r="U43" s="47">
        <v>6</v>
      </c>
      <c r="V43" s="48">
        <f t="shared" si="0"/>
        <v>40.5</v>
      </c>
    </row>
    <row r="44" spans="1:22" ht="15.75" customHeight="1" thickBot="1" x14ac:dyDescent="0.35">
      <c r="A44" s="3">
        <v>40</v>
      </c>
      <c r="B44" s="16" t="s">
        <v>247</v>
      </c>
      <c r="C44" s="33" t="s">
        <v>248</v>
      </c>
      <c r="D44" s="50"/>
      <c r="E44" s="11">
        <v>7</v>
      </c>
      <c r="F44" s="11">
        <v>1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2</v>
      </c>
      <c r="U44" s="47">
        <v>0.5</v>
      </c>
      <c r="V44" s="51">
        <f t="shared" si="0"/>
        <v>10.5</v>
      </c>
    </row>
    <row r="45" spans="1:22" ht="15.75" customHeight="1" x14ac:dyDescent="0.3">
      <c r="A45" s="1"/>
      <c r="B45" s="13"/>
      <c r="C45" s="14"/>
    </row>
    <row r="46" spans="1:22" ht="15.75" customHeight="1" x14ac:dyDescent="0.25">
      <c r="A46" s="22" t="s">
        <v>0</v>
      </c>
      <c r="B46" s="23"/>
      <c r="C46" s="23"/>
    </row>
    <row r="47" spans="1:22" ht="15.75" customHeight="1" thickBot="1" x14ac:dyDescent="0.3">
      <c r="A47" s="22" t="s">
        <v>252</v>
      </c>
      <c r="B47" s="23"/>
      <c r="C47" s="23"/>
    </row>
    <row r="48" spans="1:22" ht="15.75" customHeight="1" thickBot="1" x14ac:dyDescent="0.3">
      <c r="A48" s="22" t="s">
        <v>250</v>
      </c>
      <c r="B48" s="23"/>
      <c r="C48" s="23"/>
      <c r="G48" s="37" t="s">
        <v>285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9"/>
    </row>
    <row r="49" spans="1:22" ht="15.75" customHeight="1" x14ac:dyDescent="0.25">
      <c r="A49" s="20" t="s">
        <v>245</v>
      </c>
      <c r="B49" s="20" t="s">
        <v>246</v>
      </c>
      <c r="C49" s="36" t="s">
        <v>1</v>
      </c>
      <c r="D49" s="21" t="s">
        <v>253</v>
      </c>
      <c r="E49" s="21" t="s">
        <v>254</v>
      </c>
      <c r="F49" s="21" t="s">
        <v>255</v>
      </c>
      <c r="G49" s="21" t="s">
        <v>286</v>
      </c>
      <c r="H49" s="21" t="s">
        <v>287</v>
      </c>
      <c r="I49" s="21" t="s">
        <v>288</v>
      </c>
      <c r="J49" s="21" t="s">
        <v>289</v>
      </c>
      <c r="K49" s="21" t="s">
        <v>290</v>
      </c>
      <c r="L49" s="21" t="s">
        <v>291</v>
      </c>
      <c r="M49" s="21" t="s">
        <v>292</v>
      </c>
      <c r="N49" s="21" t="s">
        <v>294</v>
      </c>
      <c r="O49" s="21" t="s">
        <v>293</v>
      </c>
      <c r="P49" s="21" t="s">
        <v>295</v>
      </c>
      <c r="Q49" s="21" t="s">
        <v>296</v>
      </c>
      <c r="R49" s="21" t="s">
        <v>297</v>
      </c>
      <c r="S49" s="21" t="s">
        <v>298</v>
      </c>
      <c r="T49" s="21" t="s">
        <v>269</v>
      </c>
      <c r="U49" s="45" t="s">
        <v>270</v>
      </c>
      <c r="V49" s="46" t="s">
        <v>299</v>
      </c>
    </row>
    <row r="50" spans="1:22" ht="15.75" customHeight="1" x14ac:dyDescent="0.3">
      <c r="A50" s="2">
        <v>1</v>
      </c>
      <c r="B50" s="6" t="s">
        <v>82</v>
      </c>
      <c r="C50" s="30" t="s">
        <v>83</v>
      </c>
      <c r="D50" s="11"/>
      <c r="E50" s="11">
        <v>14</v>
      </c>
      <c r="F50" s="11">
        <v>1</v>
      </c>
      <c r="G50" s="11">
        <v>0</v>
      </c>
      <c r="H50" s="11">
        <v>0</v>
      </c>
      <c r="I50" s="11">
        <v>0.5</v>
      </c>
      <c r="J50" s="11">
        <v>1</v>
      </c>
      <c r="K50" s="11">
        <v>0</v>
      </c>
      <c r="L50" s="11">
        <v>1.5</v>
      </c>
      <c r="M50" s="11">
        <v>0</v>
      </c>
      <c r="N50" s="11">
        <v>0</v>
      </c>
      <c r="O50" s="11">
        <v>5</v>
      </c>
      <c r="P50" s="11">
        <v>5</v>
      </c>
      <c r="Q50" s="11">
        <v>0</v>
      </c>
      <c r="R50" s="11">
        <v>0</v>
      </c>
      <c r="S50" s="11">
        <v>0</v>
      </c>
      <c r="T50" s="11">
        <v>6</v>
      </c>
      <c r="U50" s="47">
        <v>5</v>
      </c>
      <c r="V50" s="48">
        <f t="shared" si="0"/>
        <v>39</v>
      </c>
    </row>
    <row r="51" spans="1:22" ht="15.75" customHeight="1" x14ac:dyDescent="0.3">
      <c r="A51" s="2">
        <v>2</v>
      </c>
      <c r="B51" s="6" t="s">
        <v>84</v>
      </c>
      <c r="C51" s="30" t="s">
        <v>85</v>
      </c>
      <c r="D51" s="11">
        <v>5</v>
      </c>
      <c r="E51" s="11">
        <v>11</v>
      </c>
      <c r="F51" s="11">
        <v>2</v>
      </c>
      <c r="G51" s="11">
        <v>1.5</v>
      </c>
      <c r="H51" s="11">
        <v>0</v>
      </c>
      <c r="I51" s="11">
        <v>1.5</v>
      </c>
      <c r="J51" s="11">
        <v>1</v>
      </c>
      <c r="K51" s="11">
        <v>0</v>
      </c>
      <c r="L51" s="11">
        <v>0</v>
      </c>
      <c r="M51" s="11">
        <v>0</v>
      </c>
      <c r="N51" s="11">
        <v>0</v>
      </c>
      <c r="O51" s="11">
        <v>5</v>
      </c>
      <c r="P51" s="11">
        <v>5</v>
      </c>
      <c r="Q51" s="11">
        <v>0</v>
      </c>
      <c r="R51" s="11">
        <v>2</v>
      </c>
      <c r="S51" s="11">
        <v>0</v>
      </c>
      <c r="T51" s="11">
        <v>5</v>
      </c>
      <c r="U51" s="47">
        <v>5</v>
      </c>
      <c r="V51" s="48">
        <f t="shared" si="0"/>
        <v>39</v>
      </c>
    </row>
    <row r="52" spans="1:22" ht="15.75" customHeight="1" x14ac:dyDescent="0.3">
      <c r="A52" s="2">
        <v>3</v>
      </c>
      <c r="B52" s="6" t="s">
        <v>86</v>
      </c>
      <c r="C52" s="30" t="s">
        <v>87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47"/>
      <c r="V52" s="48">
        <f t="shared" si="0"/>
        <v>0</v>
      </c>
    </row>
    <row r="53" spans="1:22" ht="15.75" customHeight="1" x14ac:dyDescent="0.3">
      <c r="A53" s="2">
        <v>4</v>
      </c>
      <c r="B53" s="6" t="s">
        <v>88</v>
      </c>
      <c r="C53" s="30" t="s">
        <v>89</v>
      </c>
      <c r="D53" s="11">
        <v>6</v>
      </c>
      <c r="E53" s="11">
        <v>14</v>
      </c>
      <c r="F53" s="11">
        <v>4</v>
      </c>
      <c r="G53" s="11">
        <v>1</v>
      </c>
      <c r="H53" s="11">
        <v>1</v>
      </c>
      <c r="I53" s="11">
        <v>1</v>
      </c>
      <c r="J53" s="11">
        <v>0</v>
      </c>
      <c r="K53" s="11">
        <v>2</v>
      </c>
      <c r="L53" s="11">
        <v>1.5</v>
      </c>
      <c r="M53" s="11">
        <v>0</v>
      </c>
      <c r="N53" s="11">
        <v>0</v>
      </c>
      <c r="O53" s="11">
        <v>5</v>
      </c>
      <c r="P53" s="11">
        <v>5</v>
      </c>
      <c r="Q53" s="11">
        <v>0</v>
      </c>
      <c r="R53" s="11">
        <v>0</v>
      </c>
      <c r="S53" s="11">
        <v>0</v>
      </c>
      <c r="T53" s="11">
        <v>5</v>
      </c>
      <c r="U53" s="47">
        <v>3</v>
      </c>
      <c r="V53" s="48">
        <f t="shared" si="0"/>
        <v>42.5</v>
      </c>
    </row>
    <row r="54" spans="1:22" ht="15.75" customHeight="1" x14ac:dyDescent="0.3">
      <c r="A54" s="2">
        <v>5</v>
      </c>
      <c r="B54" s="6" t="s">
        <v>90</v>
      </c>
      <c r="C54" s="30" t="s">
        <v>91</v>
      </c>
      <c r="D54" s="11"/>
      <c r="E54" s="11">
        <v>10</v>
      </c>
      <c r="F54" s="11">
        <v>1</v>
      </c>
      <c r="G54" s="11">
        <v>2.5</v>
      </c>
      <c r="H54" s="11">
        <v>2</v>
      </c>
      <c r="I54" s="11">
        <v>1.5</v>
      </c>
      <c r="J54" s="11">
        <v>1.5</v>
      </c>
      <c r="K54" s="11">
        <v>3</v>
      </c>
      <c r="L54" s="11">
        <v>0.5</v>
      </c>
      <c r="M54" s="11">
        <v>0</v>
      </c>
      <c r="N54" s="11">
        <v>0.5</v>
      </c>
      <c r="O54" s="11">
        <v>5</v>
      </c>
      <c r="P54" s="11">
        <v>4</v>
      </c>
      <c r="Q54" s="11">
        <v>0</v>
      </c>
      <c r="R54" s="11">
        <v>0</v>
      </c>
      <c r="S54" s="11">
        <v>0.5</v>
      </c>
      <c r="T54" s="11">
        <v>5</v>
      </c>
      <c r="U54" s="47">
        <v>5</v>
      </c>
      <c r="V54" s="48">
        <f t="shared" si="0"/>
        <v>42</v>
      </c>
    </row>
    <row r="55" spans="1:22" ht="15.75" customHeight="1" x14ac:dyDescent="0.3">
      <c r="A55" s="2">
        <v>6</v>
      </c>
      <c r="B55" s="6" t="s">
        <v>92</v>
      </c>
      <c r="C55" s="30" t="s">
        <v>93</v>
      </c>
      <c r="D55" s="11"/>
      <c r="E55" s="11">
        <v>14</v>
      </c>
      <c r="F55" s="11">
        <v>2</v>
      </c>
      <c r="G55" s="11">
        <v>1</v>
      </c>
      <c r="H55" s="11">
        <v>0.5</v>
      </c>
      <c r="I55" s="11">
        <v>0.5</v>
      </c>
      <c r="J55" s="11">
        <v>0</v>
      </c>
      <c r="K55" s="11">
        <v>0</v>
      </c>
      <c r="L55" s="11">
        <v>4</v>
      </c>
      <c r="M55" s="11">
        <v>0</v>
      </c>
      <c r="N55" s="11">
        <v>0</v>
      </c>
      <c r="O55" s="11">
        <v>2</v>
      </c>
      <c r="P55" s="11">
        <v>2</v>
      </c>
      <c r="Q55" s="11">
        <v>3</v>
      </c>
      <c r="R55" s="11">
        <v>0</v>
      </c>
      <c r="S55" s="11">
        <v>0.5</v>
      </c>
      <c r="T55" s="11">
        <v>4</v>
      </c>
      <c r="U55" s="47">
        <v>3.5</v>
      </c>
      <c r="V55" s="48">
        <f t="shared" si="0"/>
        <v>37</v>
      </c>
    </row>
    <row r="56" spans="1:22" ht="15.75" customHeight="1" x14ac:dyDescent="0.3">
      <c r="A56" s="2">
        <v>7</v>
      </c>
      <c r="B56" s="6" t="s">
        <v>94</v>
      </c>
      <c r="C56" s="30" t="s">
        <v>95</v>
      </c>
      <c r="D56" s="11">
        <v>3.5</v>
      </c>
      <c r="E56" s="11">
        <v>14</v>
      </c>
      <c r="F56" s="11">
        <v>2</v>
      </c>
      <c r="G56" s="11">
        <v>1.5</v>
      </c>
      <c r="H56" s="11">
        <v>0.5</v>
      </c>
      <c r="I56" s="11">
        <v>1</v>
      </c>
      <c r="J56" s="11">
        <v>0</v>
      </c>
      <c r="K56" s="11">
        <v>3</v>
      </c>
      <c r="L56" s="11">
        <v>3</v>
      </c>
      <c r="M56" s="11">
        <v>0</v>
      </c>
      <c r="N56" s="11">
        <v>0.5</v>
      </c>
      <c r="O56" s="11">
        <v>5</v>
      </c>
      <c r="P56" s="11">
        <v>5</v>
      </c>
      <c r="Q56" s="11">
        <v>2</v>
      </c>
      <c r="R56" s="11">
        <v>3</v>
      </c>
      <c r="S56" s="11">
        <v>0</v>
      </c>
      <c r="T56" s="11">
        <v>5</v>
      </c>
      <c r="U56" s="47">
        <v>4</v>
      </c>
      <c r="V56" s="48">
        <f t="shared" si="0"/>
        <v>49.5</v>
      </c>
    </row>
    <row r="57" spans="1:22" ht="15.75" customHeight="1" x14ac:dyDescent="0.3">
      <c r="A57" s="2">
        <v>8</v>
      </c>
      <c r="B57" s="6" t="s">
        <v>96</v>
      </c>
      <c r="C57" s="30" t="s">
        <v>97</v>
      </c>
      <c r="D57" s="11">
        <v>4.5</v>
      </c>
      <c r="E57" s="11">
        <v>10</v>
      </c>
      <c r="F57" s="11">
        <v>2</v>
      </c>
      <c r="G57" s="11">
        <v>1.5</v>
      </c>
      <c r="H57" s="11">
        <v>1</v>
      </c>
      <c r="I57" s="11">
        <v>0</v>
      </c>
      <c r="J57" s="11">
        <v>2.5</v>
      </c>
      <c r="K57" s="11">
        <v>3</v>
      </c>
      <c r="L57" s="11">
        <v>1</v>
      </c>
      <c r="M57" s="11">
        <v>0</v>
      </c>
      <c r="N57" s="11">
        <v>0</v>
      </c>
      <c r="O57" s="11">
        <v>5</v>
      </c>
      <c r="P57" s="11">
        <v>5</v>
      </c>
      <c r="Q57" s="11">
        <v>1</v>
      </c>
      <c r="R57" s="11">
        <v>0</v>
      </c>
      <c r="S57" s="11">
        <v>0</v>
      </c>
      <c r="T57" s="11">
        <v>5</v>
      </c>
      <c r="U57" s="47">
        <v>4</v>
      </c>
      <c r="V57" s="48">
        <f t="shared" si="0"/>
        <v>41</v>
      </c>
    </row>
    <row r="58" spans="1:22" ht="15.75" customHeight="1" x14ac:dyDescent="0.3">
      <c r="A58" s="2">
        <v>9</v>
      </c>
      <c r="B58" s="6" t="s">
        <v>98</v>
      </c>
      <c r="C58" s="30" t="s">
        <v>99</v>
      </c>
      <c r="D58" s="11"/>
      <c r="E58" s="11">
        <v>10</v>
      </c>
      <c r="F58" s="11">
        <v>0</v>
      </c>
      <c r="G58" s="11">
        <v>1</v>
      </c>
      <c r="H58" s="11">
        <v>0</v>
      </c>
      <c r="I58" s="11">
        <v>0</v>
      </c>
      <c r="J58" s="11">
        <v>0</v>
      </c>
      <c r="K58" s="11">
        <v>3</v>
      </c>
      <c r="L58" s="11">
        <v>0</v>
      </c>
      <c r="M58" s="11">
        <v>0</v>
      </c>
      <c r="N58" s="11">
        <v>0</v>
      </c>
      <c r="O58" s="11">
        <v>4</v>
      </c>
      <c r="P58" s="11">
        <v>3</v>
      </c>
      <c r="Q58" s="11">
        <v>0</v>
      </c>
      <c r="R58" s="11">
        <v>0</v>
      </c>
      <c r="S58" s="11">
        <v>0</v>
      </c>
      <c r="T58" s="11">
        <v>2</v>
      </c>
      <c r="U58" s="47">
        <v>5.5</v>
      </c>
      <c r="V58" s="48">
        <f t="shared" si="0"/>
        <v>28.5</v>
      </c>
    </row>
    <row r="59" spans="1:22" ht="15.75" customHeight="1" x14ac:dyDescent="0.3">
      <c r="A59" s="2">
        <v>10</v>
      </c>
      <c r="B59" s="6" t="s">
        <v>100</v>
      </c>
      <c r="C59" s="30" t="s">
        <v>101</v>
      </c>
      <c r="D59" s="11"/>
      <c r="E59" s="11">
        <v>12</v>
      </c>
      <c r="F59" s="11">
        <v>1</v>
      </c>
      <c r="G59" s="11">
        <v>2</v>
      </c>
      <c r="H59" s="11">
        <v>0</v>
      </c>
      <c r="I59" s="11">
        <v>0.5</v>
      </c>
      <c r="J59" s="11">
        <v>0</v>
      </c>
      <c r="K59" s="11">
        <v>2</v>
      </c>
      <c r="L59" s="11">
        <v>0</v>
      </c>
      <c r="M59" s="11">
        <v>0</v>
      </c>
      <c r="N59" s="11">
        <v>0</v>
      </c>
      <c r="O59" s="11">
        <v>5</v>
      </c>
      <c r="P59" s="11">
        <v>5</v>
      </c>
      <c r="Q59" s="11">
        <v>0</v>
      </c>
      <c r="R59" s="11">
        <v>3</v>
      </c>
      <c r="S59" s="11">
        <v>3</v>
      </c>
      <c r="T59" s="11">
        <v>5</v>
      </c>
      <c r="U59" s="47">
        <v>3</v>
      </c>
      <c r="V59" s="48">
        <f t="shared" si="0"/>
        <v>41.5</v>
      </c>
    </row>
    <row r="60" spans="1:22" ht="15.75" customHeight="1" x14ac:dyDescent="0.3">
      <c r="A60" s="2">
        <v>11</v>
      </c>
      <c r="B60" s="6" t="s">
        <v>102</v>
      </c>
      <c r="C60" s="30" t="s">
        <v>103</v>
      </c>
      <c r="D60" s="11">
        <v>6</v>
      </c>
      <c r="E60" s="11">
        <v>13</v>
      </c>
      <c r="F60" s="11">
        <v>1</v>
      </c>
      <c r="G60" s="11">
        <v>2.5</v>
      </c>
      <c r="H60" s="11">
        <v>1.5</v>
      </c>
      <c r="I60" s="11">
        <v>1.5</v>
      </c>
      <c r="J60" s="11">
        <v>4</v>
      </c>
      <c r="K60" s="11">
        <v>3</v>
      </c>
      <c r="L60" s="11">
        <v>4.5</v>
      </c>
      <c r="M60" s="11">
        <v>0</v>
      </c>
      <c r="N60" s="11">
        <v>0</v>
      </c>
      <c r="O60" s="11">
        <v>5</v>
      </c>
      <c r="P60" s="11">
        <v>5</v>
      </c>
      <c r="Q60" s="11">
        <v>0</v>
      </c>
      <c r="R60" s="11">
        <v>0</v>
      </c>
      <c r="S60" s="11">
        <v>0.5</v>
      </c>
      <c r="T60" s="11">
        <v>3</v>
      </c>
      <c r="U60" s="47">
        <v>4.5</v>
      </c>
      <c r="V60" s="48">
        <f t="shared" si="0"/>
        <v>49</v>
      </c>
    </row>
    <row r="61" spans="1:22" ht="15.75" customHeight="1" x14ac:dyDescent="0.3">
      <c r="A61" s="2">
        <v>12</v>
      </c>
      <c r="B61" s="6" t="s">
        <v>104</v>
      </c>
      <c r="C61" s="30" t="s">
        <v>105</v>
      </c>
      <c r="D61" s="11">
        <v>3</v>
      </c>
      <c r="E61" s="11">
        <v>10</v>
      </c>
      <c r="F61" s="11">
        <v>1</v>
      </c>
      <c r="G61" s="11">
        <v>2.5</v>
      </c>
      <c r="H61" s="11">
        <v>0</v>
      </c>
      <c r="I61" s="11">
        <v>1.5</v>
      </c>
      <c r="J61" s="11">
        <v>4.5</v>
      </c>
      <c r="K61" s="11">
        <v>3</v>
      </c>
      <c r="L61" s="11">
        <v>4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3</v>
      </c>
      <c r="S61" s="11">
        <v>2.5</v>
      </c>
      <c r="T61" s="11">
        <v>8</v>
      </c>
      <c r="U61" s="47">
        <v>0</v>
      </c>
      <c r="V61" s="48">
        <f t="shared" si="0"/>
        <v>40</v>
      </c>
    </row>
    <row r="62" spans="1:22" ht="15.75" customHeight="1" x14ac:dyDescent="0.3">
      <c r="A62" s="2">
        <v>13</v>
      </c>
      <c r="B62" s="6" t="s">
        <v>106</v>
      </c>
      <c r="C62" s="30" t="s">
        <v>107</v>
      </c>
      <c r="D62" s="11"/>
      <c r="E62" s="11">
        <v>12</v>
      </c>
      <c r="F62" s="11">
        <v>2</v>
      </c>
      <c r="G62" s="11">
        <v>3</v>
      </c>
      <c r="H62" s="11">
        <v>2</v>
      </c>
      <c r="I62" s="11">
        <v>2</v>
      </c>
      <c r="J62" s="11">
        <v>0</v>
      </c>
      <c r="K62" s="11">
        <v>3</v>
      </c>
      <c r="L62" s="11">
        <v>1.5</v>
      </c>
      <c r="M62" s="11">
        <v>0</v>
      </c>
      <c r="N62" s="11">
        <v>0</v>
      </c>
      <c r="O62" s="11">
        <v>5</v>
      </c>
      <c r="P62" s="11">
        <v>5</v>
      </c>
      <c r="Q62" s="11">
        <v>0</v>
      </c>
      <c r="R62" s="11">
        <v>0</v>
      </c>
      <c r="S62" s="11">
        <v>0</v>
      </c>
      <c r="T62" s="11">
        <v>5</v>
      </c>
      <c r="U62" s="47">
        <v>5</v>
      </c>
      <c r="V62" s="48">
        <f t="shared" si="0"/>
        <v>45.5</v>
      </c>
    </row>
    <row r="63" spans="1:22" ht="15.75" customHeight="1" x14ac:dyDescent="0.3">
      <c r="A63" s="2">
        <v>14</v>
      </c>
      <c r="B63" s="4" t="s">
        <v>158</v>
      </c>
      <c r="C63" s="30" t="s">
        <v>159</v>
      </c>
      <c r="D63" s="11">
        <v>3</v>
      </c>
      <c r="E63" s="11">
        <v>14</v>
      </c>
      <c r="F63" s="11">
        <v>7</v>
      </c>
      <c r="G63" s="11">
        <v>0.5</v>
      </c>
      <c r="H63" s="11">
        <v>2</v>
      </c>
      <c r="I63" s="11">
        <v>2</v>
      </c>
      <c r="J63" s="11">
        <v>4</v>
      </c>
      <c r="K63" s="11">
        <v>2</v>
      </c>
      <c r="L63" s="11">
        <v>1</v>
      </c>
      <c r="M63" s="11">
        <v>3</v>
      </c>
      <c r="N63" s="11">
        <v>0</v>
      </c>
      <c r="O63" s="11">
        <v>5</v>
      </c>
      <c r="P63" s="11">
        <v>5</v>
      </c>
      <c r="Q63" s="11">
        <v>0</v>
      </c>
      <c r="R63" s="11">
        <v>2.5</v>
      </c>
      <c r="S63" s="11">
        <v>0</v>
      </c>
      <c r="T63" s="11">
        <v>5</v>
      </c>
      <c r="U63" s="47">
        <v>6</v>
      </c>
      <c r="V63" s="48">
        <f t="shared" si="0"/>
        <v>59</v>
      </c>
    </row>
    <row r="64" spans="1:22" ht="15.75" customHeight="1" x14ac:dyDescent="0.3">
      <c r="A64" s="2">
        <v>15</v>
      </c>
      <c r="B64" s="6" t="s">
        <v>108</v>
      </c>
      <c r="C64" s="30" t="s">
        <v>109</v>
      </c>
      <c r="D64" s="11"/>
      <c r="E64" s="11">
        <v>13</v>
      </c>
      <c r="F64" s="11">
        <v>3</v>
      </c>
      <c r="G64" s="11">
        <v>3</v>
      </c>
      <c r="H64" s="11">
        <v>0.5</v>
      </c>
      <c r="I64" s="11">
        <v>0</v>
      </c>
      <c r="J64" s="11">
        <v>0</v>
      </c>
      <c r="K64" s="11">
        <v>3</v>
      </c>
      <c r="L64" s="11">
        <v>0.5</v>
      </c>
      <c r="M64" s="11">
        <v>0</v>
      </c>
      <c r="N64" s="11">
        <v>0</v>
      </c>
      <c r="O64" s="11">
        <v>5</v>
      </c>
      <c r="P64" s="11">
        <v>4</v>
      </c>
      <c r="Q64" s="11">
        <v>0</v>
      </c>
      <c r="R64" s="11">
        <v>0</v>
      </c>
      <c r="S64" s="11">
        <v>0.5</v>
      </c>
      <c r="T64" s="11">
        <v>7</v>
      </c>
      <c r="U64" s="47">
        <v>3</v>
      </c>
      <c r="V64" s="48">
        <f t="shared" si="0"/>
        <v>42.5</v>
      </c>
    </row>
    <row r="65" spans="1:22" ht="15.75" customHeight="1" x14ac:dyDescent="0.3">
      <c r="A65" s="2">
        <v>16</v>
      </c>
      <c r="B65" s="6" t="s">
        <v>110</v>
      </c>
      <c r="C65" s="30" t="s">
        <v>111</v>
      </c>
      <c r="D65" s="11"/>
      <c r="E65" s="11">
        <v>10</v>
      </c>
      <c r="F65" s="11">
        <v>2</v>
      </c>
      <c r="G65" s="11">
        <v>1</v>
      </c>
      <c r="H65" s="11">
        <v>0</v>
      </c>
      <c r="I65" s="11">
        <v>0.5</v>
      </c>
      <c r="J65" s="11">
        <v>0</v>
      </c>
      <c r="K65" s="11">
        <v>1</v>
      </c>
      <c r="L65" s="11">
        <v>1</v>
      </c>
      <c r="M65" s="11">
        <v>0</v>
      </c>
      <c r="N65" s="11">
        <v>0</v>
      </c>
      <c r="O65" s="11">
        <v>4</v>
      </c>
      <c r="P65" s="11">
        <v>4</v>
      </c>
      <c r="Q65" s="11">
        <v>0</v>
      </c>
      <c r="R65" s="11">
        <v>3</v>
      </c>
      <c r="S65" s="11">
        <v>1.5</v>
      </c>
      <c r="T65" s="11">
        <v>3</v>
      </c>
      <c r="U65" s="47">
        <v>4</v>
      </c>
      <c r="V65" s="48">
        <f t="shared" si="0"/>
        <v>35</v>
      </c>
    </row>
    <row r="66" spans="1:22" ht="15.75" customHeight="1" x14ac:dyDescent="0.3">
      <c r="A66" s="2">
        <v>17</v>
      </c>
      <c r="B66" s="6" t="s">
        <v>112</v>
      </c>
      <c r="C66" s="30" t="s">
        <v>113</v>
      </c>
      <c r="D66" s="11"/>
      <c r="E66" s="11">
        <v>12</v>
      </c>
      <c r="F66" s="11">
        <v>2</v>
      </c>
      <c r="G66" s="11">
        <v>0.5</v>
      </c>
      <c r="H66" s="11">
        <v>1.5</v>
      </c>
      <c r="I66" s="11">
        <v>1</v>
      </c>
      <c r="J66" s="11">
        <v>0.5</v>
      </c>
      <c r="K66" s="11">
        <v>3</v>
      </c>
      <c r="L66" s="11">
        <v>0</v>
      </c>
      <c r="M66" s="11">
        <v>0</v>
      </c>
      <c r="N66" s="11">
        <v>0</v>
      </c>
      <c r="O66" s="11">
        <v>5</v>
      </c>
      <c r="P66" s="11">
        <v>5</v>
      </c>
      <c r="Q66" s="11">
        <v>0</v>
      </c>
      <c r="R66" s="11">
        <v>0</v>
      </c>
      <c r="S66" s="11">
        <v>0</v>
      </c>
      <c r="T66" s="11">
        <v>7</v>
      </c>
      <c r="U66" s="47">
        <v>3.5</v>
      </c>
      <c r="V66" s="48">
        <f t="shared" si="0"/>
        <v>41</v>
      </c>
    </row>
    <row r="67" spans="1:22" ht="15.75" customHeight="1" x14ac:dyDescent="0.3">
      <c r="A67" s="2">
        <v>18</v>
      </c>
      <c r="B67" s="6" t="s">
        <v>114</v>
      </c>
      <c r="C67" s="30" t="s">
        <v>115</v>
      </c>
      <c r="D67" s="11">
        <v>0</v>
      </c>
      <c r="E67" s="11">
        <v>8</v>
      </c>
      <c r="F67" s="11">
        <v>0</v>
      </c>
      <c r="G67" s="11">
        <v>0.5</v>
      </c>
      <c r="H67" s="11">
        <v>0.5</v>
      </c>
      <c r="I67" s="11">
        <v>3</v>
      </c>
      <c r="J67" s="11">
        <v>4</v>
      </c>
      <c r="K67" s="11">
        <v>3</v>
      </c>
      <c r="L67" s="11">
        <v>2.5</v>
      </c>
      <c r="M67" s="11">
        <v>0</v>
      </c>
      <c r="N67" s="11">
        <v>0</v>
      </c>
      <c r="O67" s="11">
        <v>5</v>
      </c>
      <c r="P67" s="11">
        <v>4</v>
      </c>
      <c r="Q67" s="11">
        <v>0</v>
      </c>
      <c r="R67" s="11">
        <v>3</v>
      </c>
      <c r="S67" s="11">
        <v>0</v>
      </c>
      <c r="T67" s="11">
        <v>0</v>
      </c>
      <c r="U67" s="47">
        <v>3</v>
      </c>
      <c r="V67" s="48">
        <f t="shared" si="0"/>
        <v>36.5</v>
      </c>
    </row>
    <row r="68" spans="1:22" ht="15.75" customHeight="1" x14ac:dyDescent="0.3">
      <c r="A68" s="2">
        <v>19</v>
      </c>
      <c r="B68" s="6" t="s">
        <v>116</v>
      </c>
      <c r="C68" s="30" t="s">
        <v>117</v>
      </c>
      <c r="D68" s="11">
        <v>3</v>
      </c>
      <c r="E68" s="11">
        <v>10</v>
      </c>
      <c r="F68" s="11">
        <v>0</v>
      </c>
      <c r="G68" s="11">
        <v>0</v>
      </c>
      <c r="H68" s="52">
        <v>0.5</v>
      </c>
      <c r="I68" s="11">
        <v>0</v>
      </c>
      <c r="J68" s="11">
        <v>0</v>
      </c>
      <c r="K68" s="11">
        <v>0</v>
      </c>
      <c r="L68" s="11">
        <v>0.5</v>
      </c>
      <c r="M68" s="11">
        <v>0</v>
      </c>
      <c r="N68" s="11">
        <v>0</v>
      </c>
      <c r="O68" s="11">
        <v>2.5</v>
      </c>
      <c r="P68" s="11">
        <v>4</v>
      </c>
      <c r="Q68" s="11">
        <v>0</v>
      </c>
      <c r="R68" s="11">
        <v>0</v>
      </c>
      <c r="S68" s="11">
        <v>0</v>
      </c>
      <c r="T68" s="11">
        <v>1</v>
      </c>
      <c r="U68" s="47">
        <v>0.5</v>
      </c>
      <c r="V68" s="48">
        <f t="shared" si="0"/>
        <v>19</v>
      </c>
    </row>
    <row r="69" spans="1:22" ht="15.75" customHeight="1" x14ac:dyDescent="0.3">
      <c r="A69" s="2">
        <v>20</v>
      </c>
      <c r="B69" s="6" t="s">
        <v>118</v>
      </c>
      <c r="C69" s="30" t="s">
        <v>119</v>
      </c>
      <c r="D69" s="11"/>
      <c r="E69" s="11">
        <v>14</v>
      </c>
      <c r="F69" s="11">
        <v>2</v>
      </c>
      <c r="G69" s="11">
        <v>1.5</v>
      </c>
      <c r="H69" s="11">
        <v>0.5</v>
      </c>
      <c r="I69" s="11">
        <v>2</v>
      </c>
      <c r="J69" s="11">
        <v>0</v>
      </c>
      <c r="K69" s="11">
        <v>2</v>
      </c>
      <c r="L69" s="11">
        <v>0</v>
      </c>
      <c r="M69" s="11">
        <v>0</v>
      </c>
      <c r="N69" s="11">
        <v>0</v>
      </c>
      <c r="O69" s="11">
        <v>5</v>
      </c>
      <c r="P69" s="11">
        <v>5</v>
      </c>
      <c r="Q69" s="11">
        <v>0</v>
      </c>
      <c r="R69" s="11">
        <v>1.5</v>
      </c>
      <c r="S69" s="11">
        <v>0.5</v>
      </c>
      <c r="T69" s="11">
        <v>1</v>
      </c>
      <c r="U69" s="47">
        <v>4.5</v>
      </c>
      <c r="V69" s="48">
        <f t="shared" si="0"/>
        <v>39.5</v>
      </c>
    </row>
    <row r="70" spans="1:22" ht="15.75" customHeight="1" x14ac:dyDescent="0.3">
      <c r="A70" s="2">
        <v>21</v>
      </c>
      <c r="B70" s="6" t="s">
        <v>122</v>
      </c>
      <c r="C70" s="30" t="s">
        <v>123</v>
      </c>
      <c r="D70" s="11">
        <v>6</v>
      </c>
      <c r="E70" s="11">
        <v>8</v>
      </c>
      <c r="F70" s="11">
        <v>2</v>
      </c>
      <c r="G70" s="11">
        <v>2</v>
      </c>
      <c r="H70" s="11">
        <v>0</v>
      </c>
      <c r="I70" s="11">
        <v>1</v>
      </c>
      <c r="J70" s="11">
        <v>0.5</v>
      </c>
      <c r="K70" s="11">
        <v>3</v>
      </c>
      <c r="L70" s="11">
        <v>0.5</v>
      </c>
      <c r="M70" s="11">
        <v>0</v>
      </c>
      <c r="N70" s="11">
        <v>0</v>
      </c>
      <c r="O70" s="11">
        <v>5</v>
      </c>
      <c r="P70" s="11">
        <v>5</v>
      </c>
      <c r="Q70" s="11">
        <v>0</v>
      </c>
      <c r="R70" s="11">
        <v>0</v>
      </c>
      <c r="S70" s="11">
        <v>0</v>
      </c>
      <c r="T70" s="11">
        <v>4</v>
      </c>
      <c r="U70" s="47">
        <v>3.5</v>
      </c>
      <c r="V70" s="48">
        <f t="shared" ref="V70:V133" si="1">SUM(E70,F70,G70,H70,I70,J70,K70,L70,M70,N70,O70,P70,Q70,R70,S70,T70,U70)</f>
        <v>34.5</v>
      </c>
    </row>
    <row r="71" spans="1:22" ht="15.75" customHeight="1" x14ac:dyDescent="0.3">
      <c r="A71" s="2">
        <v>22</v>
      </c>
      <c r="B71" s="6" t="s">
        <v>124</v>
      </c>
      <c r="C71" s="30" t="s">
        <v>125</v>
      </c>
      <c r="D71" s="11"/>
      <c r="E71" s="11">
        <v>6</v>
      </c>
      <c r="F71" s="11">
        <v>1</v>
      </c>
      <c r="G71" s="11">
        <v>2.5</v>
      </c>
      <c r="H71" s="11">
        <v>1</v>
      </c>
      <c r="I71" s="11">
        <v>0.5</v>
      </c>
      <c r="J71" s="11">
        <v>0</v>
      </c>
      <c r="K71" s="11">
        <v>2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2</v>
      </c>
      <c r="U71" s="47">
        <v>2.5</v>
      </c>
      <c r="V71" s="48">
        <f t="shared" si="1"/>
        <v>17.5</v>
      </c>
    </row>
    <row r="72" spans="1:22" ht="15.75" customHeight="1" x14ac:dyDescent="0.3">
      <c r="A72" s="2">
        <v>23</v>
      </c>
      <c r="B72" s="4" t="s">
        <v>154</v>
      </c>
      <c r="C72" s="30" t="s">
        <v>155</v>
      </c>
      <c r="D72" s="11">
        <v>6</v>
      </c>
      <c r="E72" s="11">
        <v>14</v>
      </c>
      <c r="F72" s="11">
        <v>4</v>
      </c>
      <c r="G72" s="11">
        <v>3</v>
      </c>
      <c r="H72" s="11">
        <v>1.5</v>
      </c>
      <c r="I72" s="11">
        <v>3</v>
      </c>
      <c r="J72" s="11">
        <v>1.5</v>
      </c>
      <c r="K72" s="11">
        <v>1</v>
      </c>
      <c r="L72" s="11">
        <v>4</v>
      </c>
      <c r="M72" s="11">
        <v>0</v>
      </c>
      <c r="N72" s="11">
        <v>0</v>
      </c>
      <c r="O72" s="11">
        <v>5</v>
      </c>
      <c r="P72" s="11">
        <v>5</v>
      </c>
      <c r="Q72" s="11">
        <v>0</v>
      </c>
      <c r="R72" s="11">
        <v>2.5</v>
      </c>
      <c r="S72" s="11">
        <v>3</v>
      </c>
      <c r="T72" s="11">
        <v>5</v>
      </c>
      <c r="U72" s="47">
        <v>4.5</v>
      </c>
      <c r="V72" s="48">
        <f t="shared" si="1"/>
        <v>57</v>
      </c>
    </row>
    <row r="73" spans="1:22" ht="15.75" customHeight="1" x14ac:dyDescent="0.3">
      <c r="A73" s="2">
        <v>24</v>
      </c>
      <c r="B73" s="6" t="s">
        <v>146</v>
      </c>
      <c r="C73" s="40" t="s">
        <v>147</v>
      </c>
      <c r="D73" s="11"/>
      <c r="E73" s="11">
        <v>8</v>
      </c>
      <c r="F73" s="11">
        <v>2</v>
      </c>
      <c r="G73" s="11">
        <v>0.5</v>
      </c>
      <c r="H73" s="11">
        <v>0.5</v>
      </c>
      <c r="I73" s="11">
        <v>0</v>
      </c>
      <c r="J73" s="11">
        <v>1</v>
      </c>
      <c r="K73" s="11">
        <v>2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1</v>
      </c>
      <c r="U73" s="47">
        <v>3</v>
      </c>
      <c r="V73" s="48">
        <f t="shared" si="1"/>
        <v>18</v>
      </c>
    </row>
    <row r="74" spans="1:22" ht="15.75" customHeight="1" x14ac:dyDescent="0.3">
      <c r="A74" s="2">
        <v>25</v>
      </c>
      <c r="B74" s="6" t="s">
        <v>148</v>
      </c>
      <c r="C74" s="30" t="s">
        <v>149</v>
      </c>
      <c r="D74" s="11"/>
      <c r="E74" s="11">
        <v>14</v>
      </c>
      <c r="F74" s="11">
        <v>7</v>
      </c>
      <c r="G74" s="11">
        <v>2.5</v>
      </c>
      <c r="H74" s="11">
        <v>3</v>
      </c>
      <c r="I74" s="11">
        <v>0</v>
      </c>
      <c r="J74" s="11">
        <v>0</v>
      </c>
      <c r="K74" s="11">
        <v>3</v>
      </c>
      <c r="L74" s="11">
        <v>5</v>
      </c>
      <c r="M74" s="11">
        <v>0</v>
      </c>
      <c r="N74" s="11">
        <v>4</v>
      </c>
      <c r="O74" s="11">
        <v>2</v>
      </c>
      <c r="P74" s="11">
        <v>0</v>
      </c>
      <c r="Q74" s="11">
        <v>3</v>
      </c>
      <c r="R74" s="11">
        <v>3</v>
      </c>
      <c r="S74" s="11">
        <v>2.5</v>
      </c>
      <c r="T74" s="11">
        <v>0</v>
      </c>
      <c r="U74" s="47">
        <v>0</v>
      </c>
      <c r="V74" s="48">
        <f t="shared" si="1"/>
        <v>49</v>
      </c>
    </row>
    <row r="75" spans="1:22" ht="15.75" customHeight="1" x14ac:dyDescent="0.3">
      <c r="A75" s="2">
        <v>26</v>
      </c>
      <c r="B75" s="6" t="s">
        <v>150</v>
      </c>
      <c r="C75" s="30" t="s">
        <v>151</v>
      </c>
      <c r="D75" s="11">
        <v>6</v>
      </c>
      <c r="E75" s="11">
        <v>11</v>
      </c>
      <c r="F75" s="11">
        <v>2</v>
      </c>
      <c r="G75" s="11">
        <v>0.5</v>
      </c>
      <c r="H75" s="11">
        <v>0.5</v>
      </c>
      <c r="I75" s="11">
        <v>0.5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3</v>
      </c>
      <c r="U75" s="47">
        <v>0.5</v>
      </c>
      <c r="V75" s="48">
        <f t="shared" si="1"/>
        <v>18</v>
      </c>
    </row>
    <row r="76" spans="1:22" ht="15.75" customHeight="1" x14ac:dyDescent="0.3">
      <c r="A76" s="2">
        <v>27</v>
      </c>
      <c r="B76" s="6" t="s">
        <v>152</v>
      </c>
      <c r="C76" s="30" t="s">
        <v>153</v>
      </c>
      <c r="D76" s="11">
        <v>4.5</v>
      </c>
      <c r="E76" s="11">
        <v>7</v>
      </c>
      <c r="F76" s="11">
        <v>0</v>
      </c>
      <c r="G76" s="11">
        <v>0</v>
      </c>
      <c r="H76" s="11">
        <v>0.5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2</v>
      </c>
      <c r="P76" s="11">
        <v>0</v>
      </c>
      <c r="Q76" s="11">
        <v>0</v>
      </c>
      <c r="R76" s="11">
        <v>0</v>
      </c>
      <c r="S76" s="11">
        <v>0</v>
      </c>
      <c r="T76" s="11">
        <v>1</v>
      </c>
      <c r="U76" s="47">
        <v>2.5</v>
      </c>
      <c r="V76" s="48">
        <f t="shared" si="1"/>
        <v>13</v>
      </c>
    </row>
    <row r="77" spans="1:22" ht="15.75" customHeight="1" x14ac:dyDescent="0.3">
      <c r="A77" s="2">
        <v>28</v>
      </c>
      <c r="B77" s="4" t="s">
        <v>160</v>
      </c>
      <c r="C77" s="30" t="s">
        <v>161</v>
      </c>
      <c r="D77" s="11"/>
      <c r="E77" s="11">
        <v>11</v>
      </c>
      <c r="F77" s="11">
        <v>0</v>
      </c>
      <c r="G77" s="11">
        <v>0</v>
      </c>
      <c r="H77" s="11">
        <v>0</v>
      </c>
      <c r="I77" s="11">
        <v>0.5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2</v>
      </c>
      <c r="P77" s="11">
        <v>2</v>
      </c>
      <c r="Q77" s="11">
        <v>0</v>
      </c>
      <c r="R77" s="11">
        <v>0</v>
      </c>
      <c r="S77" s="11">
        <v>0</v>
      </c>
      <c r="T77" s="11">
        <v>0</v>
      </c>
      <c r="U77" s="47">
        <v>0.5</v>
      </c>
      <c r="V77" s="48">
        <f t="shared" si="1"/>
        <v>16</v>
      </c>
    </row>
    <row r="78" spans="1:22" ht="15.75" customHeight="1" x14ac:dyDescent="0.3">
      <c r="A78" s="2">
        <v>29</v>
      </c>
      <c r="B78" s="6" t="s">
        <v>126</v>
      </c>
      <c r="C78" s="30" t="s">
        <v>127</v>
      </c>
      <c r="D78" s="11"/>
      <c r="E78" s="11">
        <v>8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47">
        <v>2.5</v>
      </c>
      <c r="V78" s="48">
        <f t="shared" si="1"/>
        <v>10.5</v>
      </c>
    </row>
    <row r="79" spans="1:22" ht="15.75" customHeight="1" x14ac:dyDescent="0.3">
      <c r="A79" s="2">
        <v>30</v>
      </c>
      <c r="B79" s="6" t="s">
        <v>128</v>
      </c>
      <c r="C79" s="30" t="s">
        <v>129</v>
      </c>
      <c r="D79" s="11"/>
      <c r="E79" s="11">
        <v>9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4</v>
      </c>
      <c r="U79" s="47">
        <v>1</v>
      </c>
      <c r="V79" s="48">
        <f t="shared" si="1"/>
        <v>14</v>
      </c>
    </row>
    <row r="80" spans="1:22" ht="15.75" customHeight="1" x14ac:dyDescent="0.3">
      <c r="A80" s="2">
        <v>31</v>
      </c>
      <c r="B80" s="6" t="s">
        <v>130</v>
      </c>
      <c r="C80" s="30" t="s">
        <v>131</v>
      </c>
      <c r="D80" s="11"/>
      <c r="E80" s="11">
        <v>12</v>
      </c>
      <c r="F80" s="11">
        <v>0</v>
      </c>
      <c r="G80" s="11">
        <v>0</v>
      </c>
      <c r="H80" s="11">
        <v>0</v>
      </c>
      <c r="I80" s="11">
        <v>1</v>
      </c>
      <c r="J80" s="11">
        <v>0</v>
      </c>
      <c r="K80" s="11">
        <v>0</v>
      </c>
      <c r="L80" s="11">
        <v>0</v>
      </c>
      <c r="M80" s="11">
        <v>0.5</v>
      </c>
      <c r="N80" s="11">
        <v>0</v>
      </c>
      <c r="O80" s="11">
        <v>1</v>
      </c>
      <c r="P80" s="11">
        <v>0</v>
      </c>
      <c r="Q80" s="11">
        <v>0</v>
      </c>
      <c r="R80" s="11">
        <v>3</v>
      </c>
      <c r="S80" s="11">
        <v>0</v>
      </c>
      <c r="T80" s="11">
        <v>2</v>
      </c>
      <c r="U80" s="47">
        <v>1.5</v>
      </c>
      <c r="V80" s="48">
        <f t="shared" si="1"/>
        <v>21</v>
      </c>
    </row>
    <row r="81" spans="1:22" ht="15.75" customHeight="1" x14ac:dyDescent="0.3">
      <c r="A81" s="2">
        <v>32</v>
      </c>
      <c r="B81" s="6" t="s">
        <v>132</v>
      </c>
      <c r="C81" s="30" t="s">
        <v>133</v>
      </c>
      <c r="D81" s="11">
        <v>0</v>
      </c>
      <c r="E81" s="11">
        <v>10</v>
      </c>
      <c r="F81" s="11">
        <v>2</v>
      </c>
      <c r="G81" s="11">
        <v>0</v>
      </c>
      <c r="H81" s="11">
        <v>0</v>
      </c>
      <c r="I81" s="11">
        <v>0</v>
      </c>
      <c r="J81" s="11">
        <v>0</v>
      </c>
      <c r="K81" s="11">
        <v>1</v>
      </c>
      <c r="L81" s="11">
        <v>0.5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1</v>
      </c>
      <c r="S81" s="11">
        <v>0</v>
      </c>
      <c r="T81" s="11">
        <v>5</v>
      </c>
      <c r="U81" s="47">
        <v>2</v>
      </c>
      <c r="V81" s="48">
        <f t="shared" si="1"/>
        <v>21.5</v>
      </c>
    </row>
    <row r="82" spans="1:22" ht="15.75" customHeight="1" x14ac:dyDescent="0.3">
      <c r="A82" s="2">
        <v>33</v>
      </c>
      <c r="B82" s="6" t="s">
        <v>134</v>
      </c>
      <c r="C82" s="30" t="s">
        <v>135</v>
      </c>
      <c r="D82" s="11">
        <v>3</v>
      </c>
      <c r="E82" s="11">
        <v>14</v>
      </c>
      <c r="F82" s="11">
        <v>7</v>
      </c>
      <c r="G82" s="11">
        <v>2.5</v>
      </c>
      <c r="H82" s="11">
        <v>2.5</v>
      </c>
      <c r="I82" s="11">
        <v>1</v>
      </c>
      <c r="J82" s="11">
        <v>1</v>
      </c>
      <c r="K82" s="11">
        <v>3</v>
      </c>
      <c r="L82" s="11">
        <v>4.5</v>
      </c>
      <c r="M82" s="11">
        <v>1</v>
      </c>
      <c r="N82" s="11">
        <v>0</v>
      </c>
      <c r="O82" s="11">
        <v>5</v>
      </c>
      <c r="P82" s="11">
        <v>5</v>
      </c>
      <c r="Q82" s="11">
        <v>3</v>
      </c>
      <c r="R82" s="11">
        <v>2</v>
      </c>
      <c r="S82" s="11">
        <v>1.5</v>
      </c>
      <c r="T82" s="11">
        <v>7</v>
      </c>
      <c r="U82" s="47">
        <v>6</v>
      </c>
      <c r="V82" s="48">
        <f t="shared" si="1"/>
        <v>66</v>
      </c>
    </row>
    <row r="83" spans="1:22" ht="15.75" customHeight="1" x14ac:dyDescent="0.3">
      <c r="A83" s="2">
        <v>34</v>
      </c>
      <c r="B83" s="6" t="s">
        <v>136</v>
      </c>
      <c r="C83" s="30" t="s">
        <v>137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47"/>
      <c r="V83" s="48">
        <f t="shared" si="1"/>
        <v>0</v>
      </c>
    </row>
    <row r="84" spans="1:22" ht="15.75" customHeight="1" x14ac:dyDescent="0.3">
      <c r="A84" s="2">
        <v>35</v>
      </c>
      <c r="B84" s="6" t="s">
        <v>138</v>
      </c>
      <c r="C84" s="30" t="s">
        <v>139</v>
      </c>
      <c r="D84" s="11"/>
      <c r="E84" s="11">
        <v>10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1</v>
      </c>
      <c r="U84" s="47">
        <v>4</v>
      </c>
      <c r="V84" s="48">
        <f t="shared" si="1"/>
        <v>15</v>
      </c>
    </row>
    <row r="85" spans="1:22" ht="15.75" customHeight="1" x14ac:dyDescent="0.3">
      <c r="A85" s="2">
        <v>36</v>
      </c>
      <c r="B85" s="6" t="s">
        <v>140</v>
      </c>
      <c r="C85" s="30" t="s">
        <v>141</v>
      </c>
      <c r="D85" s="11">
        <v>5</v>
      </c>
      <c r="E85" s="11">
        <v>10</v>
      </c>
      <c r="F85" s="11">
        <v>0</v>
      </c>
      <c r="G85" s="11">
        <v>0</v>
      </c>
      <c r="H85" s="11">
        <v>0.5</v>
      </c>
      <c r="I85" s="11">
        <v>0</v>
      </c>
      <c r="J85" s="11">
        <v>1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0.5</v>
      </c>
      <c r="R85" s="11">
        <v>0</v>
      </c>
      <c r="S85" s="11">
        <v>0</v>
      </c>
      <c r="T85" s="11">
        <v>1</v>
      </c>
      <c r="U85" s="47">
        <v>0</v>
      </c>
      <c r="V85" s="48">
        <f t="shared" si="1"/>
        <v>13</v>
      </c>
    </row>
    <row r="86" spans="1:22" ht="15.75" customHeight="1" x14ac:dyDescent="0.3">
      <c r="A86" s="2">
        <v>37</v>
      </c>
      <c r="B86" s="6" t="s">
        <v>142</v>
      </c>
      <c r="C86" s="30" t="s">
        <v>143</v>
      </c>
      <c r="D86" s="11"/>
      <c r="E86" s="11">
        <v>8</v>
      </c>
      <c r="F86" s="11">
        <v>1</v>
      </c>
      <c r="G86" s="11">
        <v>0</v>
      </c>
      <c r="H86" s="11">
        <v>1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3</v>
      </c>
      <c r="S86" s="11">
        <v>0</v>
      </c>
      <c r="T86" s="11">
        <v>2</v>
      </c>
      <c r="U86" s="47">
        <v>2</v>
      </c>
      <c r="V86" s="48">
        <f t="shared" si="1"/>
        <v>17</v>
      </c>
    </row>
    <row r="87" spans="1:22" ht="15.75" customHeight="1" x14ac:dyDescent="0.3">
      <c r="A87" s="2">
        <v>38</v>
      </c>
      <c r="B87" s="6" t="s">
        <v>144</v>
      </c>
      <c r="C87" s="30" t="s">
        <v>145</v>
      </c>
      <c r="D87" s="11">
        <v>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47"/>
      <c r="V87" s="48">
        <f t="shared" si="1"/>
        <v>0</v>
      </c>
    </row>
    <row r="88" spans="1:22" ht="18.75" x14ac:dyDescent="0.3">
      <c r="A88" s="2">
        <v>39</v>
      </c>
      <c r="B88" s="4" t="s">
        <v>156</v>
      </c>
      <c r="C88" s="30" t="s">
        <v>157</v>
      </c>
      <c r="D88" s="11"/>
      <c r="E88" s="11">
        <v>8</v>
      </c>
      <c r="F88" s="11">
        <v>0</v>
      </c>
      <c r="G88" s="11">
        <v>0.5</v>
      </c>
      <c r="H88" s="11">
        <v>0.5</v>
      </c>
      <c r="I88" s="11">
        <v>0</v>
      </c>
      <c r="J88" s="11">
        <v>0</v>
      </c>
      <c r="K88" s="11">
        <v>0</v>
      </c>
      <c r="L88" s="11">
        <v>1</v>
      </c>
      <c r="M88" s="11">
        <v>0</v>
      </c>
      <c r="N88" s="11">
        <v>0</v>
      </c>
      <c r="O88" s="11">
        <v>2</v>
      </c>
      <c r="P88" s="11">
        <v>2</v>
      </c>
      <c r="Q88" s="11">
        <v>0</v>
      </c>
      <c r="R88" s="11">
        <v>0</v>
      </c>
      <c r="S88" s="11">
        <v>0</v>
      </c>
      <c r="T88" s="11">
        <v>4</v>
      </c>
      <c r="U88" s="47">
        <v>1</v>
      </c>
      <c r="V88" s="48">
        <f t="shared" si="1"/>
        <v>19</v>
      </c>
    </row>
    <row r="89" spans="1:22" ht="15.75" customHeight="1" x14ac:dyDescent="0.3">
      <c r="A89" s="2">
        <v>40</v>
      </c>
      <c r="B89" s="4" t="s">
        <v>2</v>
      </c>
      <c r="C89" s="30" t="s">
        <v>3</v>
      </c>
      <c r="D89" s="11"/>
      <c r="E89" s="11">
        <v>13</v>
      </c>
      <c r="F89" s="11">
        <v>8</v>
      </c>
      <c r="G89" s="11">
        <v>0.5</v>
      </c>
      <c r="H89" s="11">
        <v>2</v>
      </c>
      <c r="I89" s="11">
        <v>2</v>
      </c>
      <c r="J89" s="11">
        <v>0</v>
      </c>
      <c r="K89" s="11">
        <v>3</v>
      </c>
      <c r="L89" s="11">
        <v>1</v>
      </c>
      <c r="M89" s="11">
        <v>0.5</v>
      </c>
      <c r="N89" s="11">
        <v>0.5</v>
      </c>
      <c r="O89" s="11">
        <v>5</v>
      </c>
      <c r="P89" s="11">
        <v>5</v>
      </c>
      <c r="Q89" s="11">
        <v>3</v>
      </c>
      <c r="R89" s="11">
        <v>0.5</v>
      </c>
      <c r="S89" s="11">
        <v>0</v>
      </c>
      <c r="T89" s="11">
        <v>7</v>
      </c>
      <c r="U89" s="47">
        <v>4.5</v>
      </c>
      <c r="V89" s="48">
        <f t="shared" si="1"/>
        <v>55.5</v>
      </c>
    </row>
    <row r="90" spans="1:22" ht="15.75" customHeight="1" thickBot="1" x14ac:dyDescent="0.35">
      <c r="A90" s="2">
        <v>41</v>
      </c>
      <c r="B90" s="4" t="s">
        <v>60</v>
      </c>
      <c r="C90" s="30" t="s">
        <v>61</v>
      </c>
      <c r="D90" s="11">
        <v>4.5</v>
      </c>
      <c r="E90" s="11">
        <v>11</v>
      </c>
      <c r="F90" s="11">
        <v>2</v>
      </c>
      <c r="G90" s="11">
        <v>0.5</v>
      </c>
      <c r="H90" s="11">
        <v>0.5</v>
      </c>
      <c r="I90" s="11">
        <v>0</v>
      </c>
      <c r="J90" s="11">
        <v>1</v>
      </c>
      <c r="K90" s="11">
        <v>2</v>
      </c>
      <c r="L90" s="11">
        <v>1</v>
      </c>
      <c r="M90" s="11">
        <v>0</v>
      </c>
      <c r="N90" s="11">
        <v>0</v>
      </c>
      <c r="O90" s="11">
        <v>1</v>
      </c>
      <c r="P90" s="11">
        <v>0</v>
      </c>
      <c r="Q90" s="11">
        <v>0</v>
      </c>
      <c r="R90" s="11">
        <v>0.5</v>
      </c>
      <c r="S90" s="11">
        <v>0.5</v>
      </c>
      <c r="T90" s="11">
        <v>1</v>
      </c>
      <c r="U90" s="47">
        <v>2</v>
      </c>
      <c r="V90" s="51">
        <f t="shared" si="1"/>
        <v>23</v>
      </c>
    </row>
    <row r="91" spans="1:22" ht="15.75" customHeight="1" x14ac:dyDescent="0.3">
      <c r="A91" s="1"/>
      <c r="B91" s="17"/>
      <c r="C91" s="14"/>
    </row>
    <row r="92" spans="1:22" ht="15.75" customHeight="1" x14ac:dyDescent="0.3">
      <c r="A92" s="1"/>
      <c r="B92" s="17"/>
      <c r="C92" s="14"/>
    </row>
    <row r="93" spans="1:22" ht="15.75" customHeight="1" x14ac:dyDescent="0.25">
      <c r="A93" s="22" t="s">
        <v>0</v>
      </c>
      <c r="B93" s="23"/>
      <c r="C93" s="23"/>
    </row>
    <row r="94" spans="1:22" ht="15.75" customHeight="1" thickBot="1" x14ac:dyDescent="0.3">
      <c r="A94" s="22" t="s">
        <v>252</v>
      </c>
      <c r="B94" s="23"/>
      <c r="C94" s="23"/>
    </row>
    <row r="95" spans="1:22" ht="13.5" customHeight="1" thickBot="1" x14ac:dyDescent="0.3">
      <c r="A95" s="22" t="s">
        <v>251</v>
      </c>
      <c r="B95" s="23"/>
      <c r="C95" s="23"/>
      <c r="G95" s="37" t="s">
        <v>285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9"/>
    </row>
    <row r="96" spans="1:22" ht="15.75" customHeight="1" x14ac:dyDescent="0.25">
      <c r="A96" s="18" t="s">
        <v>245</v>
      </c>
      <c r="B96" s="19" t="s">
        <v>246</v>
      </c>
      <c r="C96" s="19" t="s">
        <v>1</v>
      </c>
      <c r="D96" s="21" t="s">
        <v>253</v>
      </c>
      <c r="E96" s="21" t="s">
        <v>254</v>
      </c>
      <c r="F96" s="21" t="s">
        <v>255</v>
      </c>
      <c r="G96" s="21" t="s">
        <v>286</v>
      </c>
      <c r="H96" s="21" t="s">
        <v>287</v>
      </c>
      <c r="I96" s="21" t="s">
        <v>288</v>
      </c>
      <c r="J96" s="21" t="s">
        <v>289</v>
      </c>
      <c r="K96" s="21" t="s">
        <v>290</v>
      </c>
      <c r="L96" s="21" t="s">
        <v>291</v>
      </c>
      <c r="M96" s="21" t="s">
        <v>292</v>
      </c>
      <c r="N96" s="21" t="s">
        <v>294</v>
      </c>
      <c r="O96" s="21" t="s">
        <v>293</v>
      </c>
      <c r="P96" s="21" t="s">
        <v>295</v>
      </c>
      <c r="Q96" s="21" t="s">
        <v>296</v>
      </c>
      <c r="R96" s="21" t="s">
        <v>297</v>
      </c>
      <c r="S96" s="21" t="s">
        <v>298</v>
      </c>
      <c r="T96" s="21" t="s">
        <v>269</v>
      </c>
      <c r="U96" s="45" t="s">
        <v>270</v>
      </c>
      <c r="V96" s="46" t="s">
        <v>299</v>
      </c>
    </row>
    <row r="97" spans="1:22" ht="15.75" customHeight="1" x14ac:dyDescent="0.3">
      <c r="A97" s="3">
        <v>1</v>
      </c>
      <c r="B97" s="4" t="s">
        <v>162</v>
      </c>
      <c r="C97" s="30" t="s">
        <v>163</v>
      </c>
      <c r="D97" s="11"/>
      <c r="E97" s="11">
        <v>14</v>
      </c>
      <c r="F97" s="11">
        <v>3</v>
      </c>
      <c r="G97" s="11">
        <v>0.5</v>
      </c>
      <c r="H97" s="11">
        <v>1.5</v>
      </c>
      <c r="I97" s="11">
        <v>1</v>
      </c>
      <c r="J97" s="11">
        <v>1</v>
      </c>
      <c r="K97" s="11">
        <v>0</v>
      </c>
      <c r="L97" s="11">
        <v>0</v>
      </c>
      <c r="M97" s="11">
        <v>0</v>
      </c>
      <c r="N97" s="11">
        <v>0</v>
      </c>
      <c r="O97" s="11">
        <v>1</v>
      </c>
      <c r="P97" s="11">
        <v>0</v>
      </c>
      <c r="Q97" s="11">
        <v>0</v>
      </c>
      <c r="R97" s="11">
        <v>2.5</v>
      </c>
      <c r="S97" s="11">
        <v>0.5</v>
      </c>
      <c r="T97" s="11">
        <v>6</v>
      </c>
      <c r="U97" s="47">
        <v>6</v>
      </c>
      <c r="V97" s="48">
        <f t="shared" si="1"/>
        <v>37</v>
      </c>
    </row>
    <row r="98" spans="1:22" ht="15.75" customHeight="1" x14ac:dyDescent="0.3">
      <c r="A98" s="3">
        <v>2</v>
      </c>
      <c r="B98" s="4" t="s">
        <v>164</v>
      </c>
      <c r="C98" s="30" t="s">
        <v>165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47"/>
      <c r="V98" s="48">
        <f t="shared" si="1"/>
        <v>0</v>
      </c>
    </row>
    <row r="99" spans="1:22" ht="15.75" customHeight="1" x14ac:dyDescent="0.3">
      <c r="A99" s="3">
        <v>3</v>
      </c>
      <c r="B99" s="4" t="s">
        <v>166</v>
      </c>
      <c r="C99" s="30" t="s">
        <v>167</v>
      </c>
      <c r="D99" s="11"/>
      <c r="E99" s="11">
        <v>13</v>
      </c>
      <c r="F99" s="11">
        <v>3</v>
      </c>
      <c r="G99" s="11">
        <v>1.5</v>
      </c>
      <c r="H99" s="11">
        <v>2</v>
      </c>
      <c r="I99" s="11">
        <v>0</v>
      </c>
      <c r="J99" s="11">
        <v>0</v>
      </c>
      <c r="K99" s="11">
        <v>3</v>
      </c>
      <c r="L99" s="11">
        <v>4</v>
      </c>
      <c r="M99" s="11">
        <v>0</v>
      </c>
      <c r="N99" s="11">
        <v>0.5</v>
      </c>
      <c r="O99" s="11">
        <v>3</v>
      </c>
      <c r="P99" s="11">
        <v>4</v>
      </c>
      <c r="Q99" s="11">
        <v>1</v>
      </c>
      <c r="R99" s="11">
        <v>3</v>
      </c>
      <c r="S99" s="11">
        <v>2.5</v>
      </c>
      <c r="T99" s="11">
        <v>6</v>
      </c>
      <c r="U99" s="47">
        <v>5.5</v>
      </c>
      <c r="V99" s="48">
        <f t="shared" si="1"/>
        <v>52</v>
      </c>
    </row>
    <row r="100" spans="1:22" ht="15.75" customHeight="1" x14ac:dyDescent="0.3">
      <c r="A100" s="3">
        <v>4</v>
      </c>
      <c r="B100" s="4" t="s">
        <v>168</v>
      </c>
      <c r="C100" s="30" t="s">
        <v>169</v>
      </c>
      <c r="D100" s="11"/>
      <c r="E100" s="11">
        <v>10</v>
      </c>
      <c r="F100" s="11">
        <v>1</v>
      </c>
      <c r="G100" s="11">
        <v>2</v>
      </c>
      <c r="H100" s="11">
        <v>1.5</v>
      </c>
      <c r="I100" s="11">
        <v>0</v>
      </c>
      <c r="J100" s="11">
        <v>1</v>
      </c>
      <c r="K100" s="11">
        <v>0</v>
      </c>
      <c r="L100" s="11">
        <v>1</v>
      </c>
      <c r="M100" s="11">
        <v>0</v>
      </c>
      <c r="N100" s="11">
        <v>0</v>
      </c>
      <c r="O100" s="11">
        <v>3</v>
      </c>
      <c r="P100" s="11">
        <v>2</v>
      </c>
      <c r="Q100" s="11">
        <v>0</v>
      </c>
      <c r="R100" s="11">
        <v>0.5</v>
      </c>
      <c r="S100" s="11">
        <v>0.5</v>
      </c>
      <c r="T100" s="11">
        <v>3</v>
      </c>
      <c r="U100" s="47">
        <v>4</v>
      </c>
      <c r="V100" s="48">
        <f t="shared" si="1"/>
        <v>29.5</v>
      </c>
    </row>
    <row r="101" spans="1:22" ht="15.75" customHeight="1" x14ac:dyDescent="0.3">
      <c r="A101" s="3">
        <v>5</v>
      </c>
      <c r="B101" s="4" t="s">
        <v>170</v>
      </c>
      <c r="C101" s="30" t="s">
        <v>171</v>
      </c>
      <c r="D101" s="11"/>
      <c r="E101" s="11">
        <v>11</v>
      </c>
      <c r="F101" s="11">
        <v>0</v>
      </c>
      <c r="G101" s="11">
        <v>0.5</v>
      </c>
      <c r="H101" s="11">
        <v>0.5</v>
      </c>
      <c r="I101" s="11">
        <v>0</v>
      </c>
      <c r="J101" s="11">
        <v>0</v>
      </c>
      <c r="K101" s="11">
        <v>2</v>
      </c>
      <c r="L101" s="11">
        <v>0</v>
      </c>
      <c r="M101" s="11">
        <v>0</v>
      </c>
      <c r="N101" s="11">
        <v>0</v>
      </c>
      <c r="O101" s="11">
        <v>5</v>
      </c>
      <c r="P101" s="11">
        <v>4.5</v>
      </c>
      <c r="Q101" s="11">
        <v>1</v>
      </c>
      <c r="R101" s="11">
        <v>0</v>
      </c>
      <c r="S101" s="11">
        <v>0</v>
      </c>
      <c r="T101" s="11">
        <v>2</v>
      </c>
      <c r="U101" s="47">
        <v>1</v>
      </c>
      <c r="V101" s="48">
        <f t="shared" si="1"/>
        <v>27.5</v>
      </c>
    </row>
    <row r="102" spans="1:22" ht="15.75" customHeight="1" x14ac:dyDescent="0.3">
      <c r="A102" s="3">
        <v>6</v>
      </c>
      <c r="B102" s="4" t="s">
        <v>172</v>
      </c>
      <c r="C102" s="30" t="s">
        <v>173</v>
      </c>
      <c r="D102" s="11"/>
      <c r="E102" s="11">
        <v>13</v>
      </c>
      <c r="F102" s="11">
        <v>3</v>
      </c>
      <c r="G102" s="11">
        <v>0</v>
      </c>
      <c r="H102" s="11">
        <v>3</v>
      </c>
      <c r="I102" s="11">
        <v>2.5</v>
      </c>
      <c r="J102" s="11">
        <v>0.5</v>
      </c>
      <c r="K102" s="11">
        <v>2</v>
      </c>
      <c r="L102" s="11">
        <v>2</v>
      </c>
      <c r="M102" s="11">
        <v>0</v>
      </c>
      <c r="N102" s="11">
        <v>3</v>
      </c>
      <c r="O102" s="11">
        <v>5</v>
      </c>
      <c r="P102" s="11">
        <v>4</v>
      </c>
      <c r="Q102" s="11">
        <v>0</v>
      </c>
      <c r="R102" s="11">
        <v>3</v>
      </c>
      <c r="S102" s="11">
        <v>1.5</v>
      </c>
      <c r="T102" s="11">
        <v>7</v>
      </c>
      <c r="U102" s="47">
        <v>0</v>
      </c>
      <c r="V102" s="48">
        <f t="shared" si="1"/>
        <v>49.5</v>
      </c>
    </row>
    <row r="103" spans="1:22" ht="15.75" customHeight="1" x14ac:dyDescent="0.3">
      <c r="A103" s="3">
        <v>7</v>
      </c>
      <c r="B103" s="4" t="s">
        <v>174</v>
      </c>
      <c r="C103" s="30" t="s">
        <v>175</v>
      </c>
      <c r="D103" s="11">
        <v>3</v>
      </c>
      <c r="E103" s="11">
        <v>10</v>
      </c>
      <c r="F103" s="11">
        <v>4</v>
      </c>
      <c r="G103" s="11">
        <v>1</v>
      </c>
      <c r="H103" s="11">
        <v>1.5</v>
      </c>
      <c r="I103" s="11">
        <v>2.5</v>
      </c>
      <c r="J103" s="11">
        <v>4</v>
      </c>
      <c r="K103" s="11">
        <v>3</v>
      </c>
      <c r="L103" s="11">
        <v>2</v>
      </c>
      <c r="M103" s="11">
        <v>0</v>
      </c>
      <c r="N103" s="11">
        <v>2</v>
      </c>
      <c r="O103" s="11">
        <v>5</v>
      </c>
      <c r="P103" s="11">
        <v>5</v>
      </c>
      <c r="Q103" s="11">
        <v>0.5</v>
      </c>
      <c r="R103" s="11">
        <v>3</v>
      </c>
      <c r="S103" s="11">
        <v>0</v>
      </c>
      <c r="T103" s="11">
        <v>4</v>
      </c>
      <c r="U103" s="47">
        <v>4.5</v>
      </c>
      <c r="V103" s="48">
        <f t="shared" si="1"/>
        <v>52</v>
      </c>
    </row>
    <row r="104" spans="1:22" ht="15.75" customHeight="1" x14ac:dyDescent="0.3">
      <c r="A104" s="3">
        <v>8</v>
      </c>
      <c r="B104" s="4" t="s">
        <v>176</v>
      </c>
      <c r="C104" s="30" t="s">
        <v>177</v>
      </c>
      <c r="D104" s="11">
        <v>6</v>
      </c>
      <c r="E104" s="11">
        <v>12</v>
      </c>
      <c r="F104" s="11">
        <v>3</v>
      </c>
      <c r="G104" s="11">
        <v>1</v>
      </c>
      <c r="H104" s="11">
        <v>0.5</v>
      </c>
      <c r="I104" s="11">
        <v>2.5</v>
      </c>
      <c r="J104" s="11">
        <v>3</v>
      </c>
      <c r="K104" s="11">
        <v>3</v>
      </c>
      <c r="L104" s="11">
        <v>1</v>
      </c>
      <c r="M104" s="11">
        <v>3</v>
      </c>
      <c r="N104" s="11">
        <v>0.5</v>
      </c>
      <c r="O104" s="11">
        <v>5</v>
      </c>
      <c r="P104" s="11">
        <v>5</v>
      </c>
      <c r="Q104" s="11">
        <v>0</v>
      </c>
      <c r="R104" s="11">
        <v>0.5</v>
      </c>
      <c r="S104" s="11">
        <v>0</v>
      </c>
      <c r="T104" s="11">
        <v>5</v>
      </c>
      <c r="U104" s="47">
        <v>5.5</v>
      </c>
      <c r="V104" s="48">
        <f t="shared" si="1"/>
        <v>50.5</v>
      </c>
    </row>
    <row r="105" spans="1:22" ht="15.75" customHeight="1" x14ac:dyDescent="0.3">
      <c r="A105" s="3">
        <v>9</v>
      </c>
      <c r="B105" s="4" t="s">
        <v>178</v>
      </c>
      <c r="C105" s="30" t="s">
        <v>179</v>
      </c>
      <c r="D105" s="11"/>
      <c r="E105" s="11">
        <v>7</v>
      </c>
      <c r="F105" s="11">
        <v>0</v>
      </c>
      <c r="G105" s="11">
        <v>0</v>
      </c>
      <c r="H105" s="11">
        <v>0.5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0.5</v>
      </c>
      <c r="S105" s="11">
        <v>0</v>
      </c>
      <c r="T105" s="11">
        <v>2</v>
      </c>
      <c r="U105" s="47">
        <v>2</v>
      </c>
      <c r="V105" s="48">
        <f t="shared" si="1"/>
        <v>12</v>
      </c>
    </row>
    <row r="106" spans="1:22" ht="15.75" customHeight="1" x14ac:dyDescent="0.3">
      <c r="A106" s="3">
        <v>10</v>
      </c>
      <c r="B106" s="4" t="s">
        <v>180</v>
      </c>
      <c r="C106" s="30" t="s">
        <v>181</v>
      </c>
      <c r="D106" s="11">
        <v>0</v>
      </c>
      <c r="E106" s="11">
        <v>11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3</v>
      </c>
      <c r="L106" s="11">
        <v>0</v>
      </c>
      <c r="M106" s="11">
        <v>0</v>
      </c>
      <c r="N106" s="11">
        <v>0</v>
      </c>
      <c r="O106" s="11">
        <v>5</v>
      </c>
      <c r="P106" s="11">
        <v>0</v>
      </c>
      <c r="Q106" s="11">
        <v>0</v>
      </c>
      <c r="R106" s="11">
        <v>3</v>
      </c>
      <c r="S106" s="11">
        <v>0</v>
      </c>
      <c r="T106" s="11">
        <v>8</v>
      </c>
      <c r="U106" s="47">
        <v>5.5</v>
      </c>
      <c r="V106" s="48">
        <f t="shared" si="1"/>
        <v>35.5</v>
      </c>
    </row>
    <row r="107" spans="1:22" ht="15.75" customHeight="1" x14ac:dyDescent="0.3">
      <c r="A107" s="3">
        <v>11</v>
      </c>
      <c r="B107" s="4" t="s">
        <v>182</v>
      </c>
      <c r="C107" s="30" t="s">
        <v>183</v>
      </c>
      <c r="D107" s="11">
        <v>0</v>
      </c>
      <c r="E107" s="11">
        <v>12</v>
      </c>
      <c r="F107" s="11">
        <v>1</v>
      </c>
      <c r="G107" s="11">
        <v>0.5</v>
      </c>
      <c r="H107" s="11">
        <v>1</v>
      </c>
      <c r="I107" s="11">
        <v>0</v>
      </c>
      <c r="J107" s="11">
        <v>0</v>
      </c>
      <c r="K107" s="11">
        <v>2</v>
      </c>
      <c r="L107" s="11">
        <v>0</v>
      </c>
      <c r="M107" s="11">
        <v>0</v>
      </c>
      <c r="N107" s="11">
        <v>0</v>
      </c>
      <c r="O107" s="11">
        <v>5</v>
      </c>
      <c r="P107" s="11">
        <v>5</v>
      </c>
      <c r="Q107" s="11">
        <v>0</v>
      </c>
      <c r="R107" s="11">
        <v>3</v>
      </c>
      <c r="S107" s="11">
        <v>0</v>
      </c>
      <c r="T107" s="11">
        <v>5</v>
      </c>
      <c r="U107" s="47">
        <v>3.5</v>
      </c>
      <c r="V107" s="48">
        <f t="shared" si="1"/>
        <v>38</v>
      </c>
    </row>
    <row r="108" spans="1:22" ht="15.75" customHeight="1" x14ac:dyDescent="0.3">
      <c r="A108" s="3">
        <v>12</v>
      </c>
      <c r="B108" s="4" t="s">
        <v>184</v>
      </c>
      <c r="C108" s="30" t="s">
        <v>185</v>
      </c>
      <c r="D108" s="11">
        <v>6</v>
      </c>
      <c r="E108" s="11">
        <v>14</v>
      </c>
      <c r="F108" s="11">
        <v>2</v>
      </c>
      <c r="G108" s="11">
        <v>1.5</v>
      </c>
      <c r="H108" s="11">
        <v>1.5</v>
      </c>
      <c r="I108" s="11">
        <v>3</v>
      </c>
      <c r="J108" s="11">
        <v>4.5</v>
      </c>
      <c r="K108" s="11">
        <v>3</v>
      </c>
      <c r="L108" s="11">
        <v>2</v>
      </c>
      <c r="M108" s="11">
        <v>0.5</v>
      </c>
      <c r="N108" s="11">
        <v>0.5</v>
      </c>
      <c r="O108" s="11">
        <v>1</v>
      </c>
      <c r="P108" s="11">
        <v>1</v>
      </c>
      <c r="Q108" s="11">
        <v>0.5</v>
      </c>
      <c r="R108" s="11">
        <v>3</v>
      </c>
      <c r="S108" s="11">
        <v>0</v>
      </c>
      <c r="T108" s="11">
        <v>7</v>
      </c>
      <c r="U108" s="47">
        <v>4.5</v>
      </c>
      <c r="V108" s="48">
        <f t="shared" si="1"/>
        <v>49.5</v>
      </c>
    </row>
    <row r="109" spans="1:22" ht="15.75" customHeight="1" x14ac:dyDescent="0.3">
      <c r="A109" s="3">
        <v>13</v>
      </c>
      <c r="B109" s="4" t="s">
        <v>186</v>
      </c>
      <c r="C109" s="30" t="s">
        <v>187</v>
      </c>
      <c r="D109" s="11">
        <v>1</v>
      </c>
      <c r="E109" s="11">
        <v>15</v>
      </c>
      <c r="F109" s="11">
        <v>3</v>
      </c>
      <c r="G109" s="11">
        <v>1</v>
      </c>
      <c r="H109" s="11">
        <v>2</v>
      </c>
      <c r="I109" s="11">
        <v>0</v>
      </c>
      <c r="J109" s="11">
        <v>2</v>
      </c>
      <c r="K109" s="11">
        <v>3</v>
      </c>
      <c r="L109" s="11">
        <v>0</v>
      </c>
      <c r="M109" s="11">
        <v>0</v>
      </c>
      <c r="N109" s="11">
        <v>2</v>
      </c>
      <c r="O109" s="11">
        <v>5</v>
      </c>
      <c r="P109" s="11">
        <v>4</v>
      </c>
      <c r="Q109" s="11">
        <v>0</v>
      </c>
      <c r="R109" s="11">
        <v>2.5</v>
      </c>
      <c r="S109" s="11">
        <v>1</v>
      </c>
      <c r="T109" s="11">
        <v>6</v>
      </c>
      <c r="U109" s="47">
        <v>6</v>
      </c>
      <c r="V109" s="48">
        <f t="shared" si="1"/>
        <v>52.5</v>
      </c>
    </row>
    <row r="110" spans="1:22" ht="15.75" customHeight="1" x14ac:dyDescent="0.3">
      <c r="A110" s="3">
        <v>14</v>
      </c>
      <c r="B110" s="4" t="s">
        <v>188</v>
      </c>
      <c r="C110" s="30" t="s">
        <v>189</v>
      </c>
      <c r="D110" s="11"/>
      <c r="E110" s="11">
        <v>12</v>
      </c>
      <c r="F110" s="11">
        <v>2</v>
      </c>
      <c r="G110" s="11">
        <v>1</v>
      </c>
      <c r="H110" s="11">
        <v>1</v>
      </c>
      <c r="I110" s="11">
        <v>1.5</v>
      </c>
      <c r="J110" s="11">
        <v>0</v>
      </c>
      <c r="K110" s="11">
        <v>3</v>
      </c>
      <c r="L110" s="11">
        <v>0</v>
      </c>
      <c r="M110" s="11">
        <v>0</v>
      </c>
      <c r="N110" s="11">
        <v>0</v>
      </c>
      <c r="O110" s="11">
        <v>2</v>
      </c>
      <c r="P110" s="11">
        <v>2</v>
      </c>
      <c r="Q110" s="11">
        <v>0</v>
      </c>
      <c r="R110" s="11">
        <v>0</v>
      </c>
      <c r="S110" s="11">
        <v>1</v>
      </c>
      <c r="T110" s="11">
        <v>5</v>
      </c>
      <c r="U110" s="47">
        <v>3.5</v>
      </c>
      <c r="V110" s="48">
        <f t="shared" si="1"/>
        <v>34</v>
      </c>
    </row>
    <row r="111" spans="1:22" ht="15.75" customHeight="1" x14ac:dyDescent="0.3">
      <c r="A111" s="3">
        <v>15</v>
      </c>
      <c r="B111" s="4" t="s">
        <v>190</v>
      </c>
      <c r="C111" s="30" t="s">
        <v>191</v>
      </c>
      <c r="D111" s="11"/>
      <c r="E111" s="11">
        <v>9</v>
      </c>
      <c r="F111" s="11">
        <v>2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1</v>
      </c>
      <c r="T111" s="11">
        <v>8</v>
      </c>
      <c r="U111" s="47">
        <v>0.5</v>
      </c>
      <c r="V111" s="48">
        <f t="shared" si="1"/>
        <v>20.5</v>
      </c>
    </row>
    <row r="112" spans="1:22" ht="15.75" customHeight="1" x14ac:dyDescent="0.3">
      <c r="A112" s="3">
        <v>16</v>
      </c>
      <c r="B112" s="4" t="s">
        <v>192</v>
      </c>
      <c r="C112" s="30" t="s">
        <v>193</v>
      </c>
      <c r="D112" s="11">
        <v>6</v>
      </c>
      <c r="E112" s="11">
        <v>10</v>
      </c>
      <c r="F112" s="11">
        <v>0</v>
      </c>
      <c r="G112" s="11">
        <v>0.5</v>
      </c>
      <c r="H112" s="11">
        <v>0</v>
      </c>
      <c r="I112" s="11">
        <v>0.5</v>
      </c>
      <c r="J112" s="11">
        <v>4.5</v>
      </c>
      <c r="K112" s="11">
        <v>0</v>
      </c>
      <c r="L112" s="11">
        <v>0</v>
      </c>
      <c r="M112" s="11">
        <v>0</v>
      </c>
      <c r="N112" s="11">
        <v>0.5</v>
      </c>
      <c r="O112" s="11">
        <v>5</v>
      </c>
      <c r="P112" s="11">
        <v>5</v>
      </c>
      <c r="Q112" s="11">
        <v>1</v>
      </c>
      <c r="R112" s="11">
        <v>0</v>
      </c>
      <c r="S112" s="11">
        <v>0</v>
      </c>
      <c r="T112" s="11">
        <v>2</v>
      </c>
      <c r="U112" s="47">
        <v>1.5</v>
      </c>
      <c r="V112" s="48">
        <f t="shared" si="1"/>
        <v>30.5</v>
      </c>
    </row>
    <row r="113" spans="1:22" ht="15.75" customHeight="1" x14ac:dyDescent="0.3">
      <c r="A113" s="3">
        <v>17</v>
      </c>
      <c r="B113" s="4" t="s">
        <v>194</v>
      </c>
      <c r="C113" s="30" t="s">
        <v>195</v>
      </c>
      <c r="D113" s="11">
        <v>1</v>
      </c>
      <c r="E113" s="11">
        <v>11</v>
      </c>
      <c r="F113" s="11">
        <v>4</v>
      </c>
      <c r="G113" s="11">
        <v>0</v>
      </c>
      <c r="H113" s="11">
        <v>1</v>
      </c>
      <c r="I113" s="11">
        <v>0.5</v>
      </c>
      <c r="J113" s="11">
        <v>0.5</v>
      </c>
      <c r="K113" s="11">
        <v>2</v>
      </c>
      <c r="L113" s="11">
        <v>3.5</v>
      </c>
      <c r="M113" s="11">
        <v>0</v>
      </c>
      <c r="N113" s="11">
        <v>0.5</v>
      </c>
      <c r="O113" s="11">
        <v>5</v>
      </c>
      <c r="P113" s="11">
        <v>5</v>
      </c>
      <c r="Q113" s="11">
        <v>0</v>
      </c>
      <c r="R113" s="11">
        <v>3</v>
      </c>
      <c r="S113" s="11">
        <v>0</v>
      </c>
      <c r="T113" s="11">
        <v>6</v>
      </c>
      <c r="U113" s="47">
        <v>2</v>
      </c>
      <c r="V113" s="48">
        <f t="shared" si="1"/>
        <v>44</v>
      </c>
    </row>
    <row r="114" spans="1:22" ht="15.75" customHeight="1" x14ac:dyDescent="0.3">
      <c r="A114" s="3">
        <v>18</v>
      </c>
      <c r="B114" s="4" t="s">
        <v>196</v>
      </c>
      <c r="C114" s="30" t="s">
        <v>197</v>
      </c>
      <c r="D114" s="11">
        <v>1</v>
      </c>
      <c r="E114" s="11">
        <v>10</v>
      </c>
      <c r="F114" s="11">
        <v>3</v>
      </c>
      <c r="G114" s="11">
        <v>0.5</v>
      </c>
      <c r="H114" s="11">
        <v>1</v>
      </c>
      <c r="I114" s="11">
        <v>1</v>
      </c>
      <c r="J114" s="11">
        <v>0</v>
      </c>
      <c r="K114" s="11">
        <v>3</v>
      </c>
      <c r="L114" s="11">
        <v>0</v>
      </c>
      <c r="M114" s="11">
        <v>0</v>
      </c>
      <c r="N114" s="11">
        <v>0.5</v>
      </c>
      <c r="O114" s="11">
        <v>5</v>
      </c>
      <c r="P114" s="11">
        <v>5</v>
      </c>
      <c r="Q114" s="11">
        <v>1</v>
      </c>
      <c r="R114" s="11">
        <v>0</v>
      </c>
      <c r="S114" s="11">
        <v>0</v>
      </c>
      <c r="T114" s="11">
        <v>5</v>
      </c>
      <c r="U114" s="47">
        <v>2.5</v>
      </c>
      <c r="V114" s="48">
        <f t="shared" si="1"/>
        <v>37.5</v>
      </c>
    </row>
    <row r="115" spans="1:22" ht="15.75" customHeight="1" x14ac:dyDescent="0.3">
      <c r="A115" s="3">
        <v>19</v>
      </c>
      <c r="B115" s="4" t="s">
        <v>198</v>
      </c>
      <c r="C115" s="30" t="s">
        <v>199</v>
      </c>
      <c r="D115" s="11">
        <v>1.5</v>
      </c>
      <c r="E115" s="11">
        <v>12</v>
      </c>
      <c r="F115" s="11">
        <v>1</v>
      </c>
      <c r="G115" s="11">
        <v>2.5</v>
      </c>
      <c r="H115" s="11">
        <v>2</v>
      </c>
      <c r="I115" s="11">
        <v>1</v>
      </c>
      <c r="J115" s="11">
        <v>0</v>
      </c>
      <c r="K115" s="11">
        <v>0</v>
      </c>
      <c r="L115" s="11">
        <v>4</v>
      </c>
      <c r="M115" s="11">
        <v>0</v>
      </c>
      <c r="N115" s="11">
        <v>0</v>
      </c>
      <c r="O115" s="11">
        <v>5</v>
      </c>
      <c r="P115" s="11">
        <v>5</v>
      </c>
      <c r="Q115" s="11">
        <v>1</v>
      </c>
      <c r="R115" s="11">
        <v>0</v>
      </c>
      <c r="S115" s="11">
        <v>1.5</v>
      </c>
      <c r="T115" s="11">
        <v>5</v>
      </c>
      <c r="U115" s="47">
        <v>5.5</v>
      </c>
      <c r="V115" s="48">
        <f t="shared" si="1"/>
        <v>45.5</v>
      </c>
    </row>
    <row r="116" spans="1:22" ht="15.75" customHeight="1" x14ac:dyDescent="0.3">
      <c r="A116" s="3">
        <v>20</v>
      </c>
      <c r="B116" s="4" t="s">
        <v>200</v>
      </c>
      <c r="C116" s="30" t="s">
        <v>43</v>
      </c>
      <c r="D116" s="11"/>
      <c r="E116" s="11">
        <v>8</v>
      </c>
      <c r="F116" s="11">
        <v>1</v>
      </c>
      <c r="G116" s="11">
        <v>0.5</v>
      </c>
      <c r="H116" s="11">
        <v>0.5</v>
      </c>
      <c r="I116" s="11">
        <v>0.5</v>
      </c>
      <c r="J116" s="11">
        <v>0</v>
      </c>
      <c r="K116" s="11">
        <v>0</v>
      </c>
      <c r="L116" s="11">
        <v>0.5</v>
      </c>
      <c r="M116" s="11">
        <v>0</v>
      </c>
      <c r="N116" s="11">
        <v>0</v>
      </c>
      <c r="O116" s="11">
        <v>2</v>
      </c>
      <c r="P116" s="11">
        <v>2</v>
      </c>
      <c r="Q116" s="11">
        <v>0</v>
      </c>
      <c r="R116" s="11">
        <v>0</v>
      </c>
      <c r="S116" s="11">
        <v>0</v>
      </c>
      <c r="T116" s="11">
        <v>2</v>
      </c>
      <c r="U116" s="47">
        <v>1.5</v>
      </c>
      <c r="V116" s="48">
        <f t="shared" si="1"/>
        <v>18.5</v>
      </c>
    </row>
    <row r="117" spans="1:22" ht="15.75" customHeight="1" x14ac:dyDescent="0.3">
      <c r="A117" s="3">
        <v>21</v>
      </c>
      <c r="B117" s="4" t="s">
        <v>201</v>
      </c>
      <c r="C117" s="30" t="s">
        <v>202</v>
      </c>
      <c r="D117" s="11">
        <v>2</v>
      </c>
      <c r="E117" s="11">
        <v>9</v>
      </c>
      <c r="F117" s="11">
        <v>3</v>
      </c>
      <c r="G117" s="11">
        <v>0.5</v>
      </c>
      <c r="H117" s="11">
        <v>0</v>
      </c>
      <c r="I117" s="11">
        <v>0.5</v>
      </c>
      <c r="J117" s="11">
        <v>0</v>
      </c>
      <c r="K117" s="11">
        <v>0</v>
      </c>
      <c r="L117" s="11">
        <v>0</v>
      </c>
      <c r="M117" s="11">
        <v>0</v>
      </c>
      <c r="N117" s="11">
        <v>0.5</v>
      </c>
      <c r="O117" s="11">
        <v>3</v>
      </c>
      <c r="P117" s="11">
        <v>3</v>
      </c>
      <c r="Q117" s="11">
        <v>0.5</v>
      </c>
      <c r="R117" s="11">
        <v>0</v>
      </c>
      <c r="S117" s="11">
        <v>0.5</v>
      </c>
      <c r="T117" s="11">
        <v>2</v>
      </c>
      <c r="U117" s="47">
        <v>4</v>
      </c>
      <c r="V117" s="48">
        <f t="shared" si="1"/>
        <v>26.5</v>
      </c>
    </row>
    <row r="118" spans="1:22" ht="15.75" customHeight="1" x14ac:dyDescent="0.3">
      <c r="A118" s="3">
        <v>22</v>
      </c>
      <c r="B118" s="4" t="s">
        <v>203</v>
      </c>
      <c r="C118" s="30" t="s">
        <v>204</v>
      </c>
      <c r="D118" s="11">
        <v>9</v>
      </c>
      <c r="E118" s="11">
        <v>12</v>
      </c>
      <c r="F118" s="11">
        <v>2</v>
      </c>
      <c r="G118" s="11">
        <v>1</v>
      </c>
      <c r="H118" s="11">
        <v>1.5</v>
      </c>
      <c r="I118" s="11">
        <v>3</v>
      </c>
      <c r="J118" s="11">
        <v>4</v>
      </c>
      <c r="K118" s="11">
        <v>3</v>
      </c>
      <c r="L118" s="11">
        <v>4.5</v>
      </c>
      <c r="M118" s="11">
        <v>0</v>
      </c>
      <c r="N118" s="11">
        <v>0</v>
      </c>
      <c r="O118" s="11">
        <v>5</v>
      </c>
      <c r="P118" s="11">
        <v>5</v>
      </c>
      <c r="Q118" s="11">
        <v>3</v>
      </c>
      <c r="R118" s="11">
        <v>0</v>
      </c>
      <c r="S118" s="11">
        <v>3</v>
      </c>
      <c r="T118" s="11">
        <v>5</v>
      </c>
      <c r="U118" s="47">
        <v>3</v>
      </c>
      <c r="V118" s="48">
        <f t="shared" si="1"/>
        <v>55</v>
      </c>
    </row>
    <row r="119" spans="1:22" ht="15.75" customHeight="1" x14ac:dyDescent="0.3">
      <c r="A119" s="3">
        <v>23</v>
      </c>
      <c r="B119" s="7" t="s">
        <v>225</v>
      </c>
      <c r="C119" s="30" t="s">
        <v>226</v>
      </c>
      <c r="D119" s="11"/>
      <c r="E119" s="11">
        <v>8</v>
      </c>
      <c r="F119" s="11">
        <v>0</v>
      </c>
      <c r="G119" s="11">
        <v>0.5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1</v>
      </c>
      <c r="U119" s="47">
        <v>0</v>
      </c>
      <c r="V119" s="48">
        <f t="shared" si="1"/>
        <v>9.5</v>
      </c>
    </row>
    <row r="120" spans="1:22" ht="15.75" customHeight="1" x14ac:dyDescent="0.3">
      <c r="A120" s="3">
        <v>24</v>
      </c>
      <c r="B120" s="7" t="s">
        <v>227</v>
      </c>
      <c r="C120" s="30" t="s">
        <v>228</v>
      </c>
      <c r="D120" s="11"/>
      <c r="E120" s="11">
        <v>11</v>
      </c>
      <c r="F120" s="11">
        <v>2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2</v>
      </c>
      <c r="U120" s="47">
        <v>2</v>
      </c>
      <c r="V120" s="48">
        <f t="shared" si="1"/>
        <v>17</v>
      </c>
    </row>
    <row r="121" spans="1:22" ht="15.75" customHeight="1" x14ac:dyDescent="0.3">
      <c r="A121" s="3">
        <v>25</v>
      </c>
      <c r="B121" s="8" t="s">
        <v>233</v>
      </c>
      <c r="C121" s="41" t="s">
        <v>234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47"/>
      <c r="V121" s="48">
        <f t="shared" si="1"/>
        <v>0</v>
      </c>
    </row>
    <row r="122" spans="1:22" ht="15.75" customHeight="1" x14ac:dyDescent="0.3">
      <c r="A122" s="3">
        <v>26</v>
      </c>
      <c r="B122" s="5" t="s">
        <v>235</v>
      </c>
      <c r="C122" s="29" t="s">
        <v>236</v>
      </c>
      <c r="D122" s="11">
        <v>0</v>
      </c>
      <c r="E122" s="11">
        <v>7</v>
      </c>
      <c r="F122" s="53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53">
        <v>1</v>
      </c>
      <c r="U122" s="47">
        <v>0.5</v>
      </c>
      <c r="V122" s="48">
        <f t="shared" si="1"/>
        <v>8.5</v>
      </c>
    </row>
    <row r="123" spans="1:22" ht="15.75" customHeight="1" x14ac:dyDescent="0.3">
      <c r="A123" s="3">
        <v>27</v>
      </c>
      <c r="B123" s="7" t="s">
        <v>229</v>
      </c>
      <c r="C123" s="30" t="s">
        <v>230</v>
      </c>
      <c r="D123" s="11"/>
      <c r="E123" s="11">
        <v>11</v>
      </c>
      <c r="F123" s="11">
        <v>3</v>
      </c>
      <c r="G123" s="11">
        <v>0</v>
      </c>
      <c r="H123" s="11">
        <v>0.5</v>
      </c>
      <c r="I123" s="11">
        <v>0.5</v>
      </c>
      <c r="J123" s="11">
        <v>0</v>
      </c>
      <c r="K123" s="11">
        <v>0</v>
      </c>
      <c r="L123" s="11">
        <v>2.5</v>
      </c>
      <c r="M123" s="11">
        <v>0</v>
      </c>
      <c r="N123" s="11">
        <v>0.5</v>
      </c>
      <c r="O123" s="11">
        <v>0</v>
      </c>
      <c r="P123" s="11">
        <v>0</v>
      </c>
      <c r="Q123" s="11">
        <v>0</v>
      </c>
      <c r="R123" s="11">
        <v>0.5</v>
      </c>
      <c r="S123" s="11">
        <v>0</v>
      </c>
      <c r="T123" s="11">
        <v>4</v>
      </c>
      <c r="U123" s="47">
        <v>3.5</v>
      </c>
      <c r="V123" s="48">
        <f t="shared" si="1"/>
        <v>26</v>
      </c>
    </row>
    <row r="124" spans="1:22" ht="15.75" customHeight="1" x14ac:dyDescent="0.3">
      <c r="A124" s="3">
        <v>28</v>
      </c>
      <c r="B124" s="7" t="s">
        <v>231</v>
      </c>
      <c r="C124" s="30" t="s">
        <v>232</v>
      </c>
      <c r="D124" s="11"/>
      <c r="E124" s="11">
        <v>14</v>
      </c>
      <c r="F124" s="11">
        <v>5</v>
      </c>
      <c r="G124" s="11">
        <v>0.5</v>
      </c>
      <c r="H124" s="11">
        <v>1.5</v>
      </c>
      <c r="I124" s="11">
        <v>2.5</v>
      </c>
      <c r="J124" s="11">
        <v>0</v>
      </c>
      <c r="K124" s="11">
        <v>0</v>
      </c>
      <c r="L124" s="11">
        <v>5</v>
      </c>
      <c r="M124" s="11">
        <v>0</v>
      </c>
      <c r="N124" s="11">
        <v>0</v>
      </c>
      <c r="O124" s="11">
        <v>5</v>
      </c>
      <c r="P124" s="11">
        <v>5</v>
      </c>
      <c r="Q124" s="11">
        <v>0</v>
      </c>
      <c r="R124" s="11">
        <v>3</v>
      </c>
      <c r="S124" s="11">
        <v>0</v>
      </c>
      <c r="T124" s="11">
        <v>7</v>
      </c>
      <c r="U124" s="47">
        <v>6</v>
      </c>
      <c r="V124" s="48">
        <f t="shared" si="1"/>
        <v>54.5</v>
      </c>
    </row>
    <row r="125" spans="1:22" ht="15.75" customHeight="1" x14ac:dyDescent="0.3">
      <c r="A125" s="3">
        <v>29</v>
      </c>
      <c r="B125" s="7" t="s">
        <v>237</v>
      </c>
      <c r="C125" s="42" t="s">
        <v>238</v>
      </c>
      <c r="D125" s="11">
        <v>0</v>
      </c>
      <c r="E125" s="11">
        <v>12</v>
      </c>
      <c r="F125" s="11">
        <v>0</v>
      </c>
      <c r="G125" s="11">
        <v>0.5</v>
      </c>
      <c r="H125" s="11">
        <v>0.5</v>
      </c>
      <c r="I125" s="11">
        <v>0.5</v>
      </c>
      <c r="J125" s="11">
        <v>1</v>
      </c>
      <c r="K125" s="11">
        <v>2</v>
      </c>
      <c r="L125" s="11">
        <v>2</v>
      </c>
      <c r="M125" s="11">
        <v>0.5</v>
      </c>
      <c r="N125" s="11">
        <v>0</v>
      </c>
      <c r="O125" s="11">
        <v>4</v>
      </c>
      <c r="P125" s="11">
        <v>3</v>
      </c>
      <c r="Q125" s="11">
        <v>1</v>
      </c>
      <c r="R125" s="11">
        <v>0</v>
      </c>
      <c r="S125" s="11">
        <v>3</v>
      </c>
      <c r="T125" s="11">
        <v>4</v>
      </c>
      <c r="U125" s="47">
        <v>3</v>
      </c>
      <c r="V125" s="48">
        <f t="shared" si="1"/>
        <v>37</v>
      </c>
    </row>
    <row r="126" spans="1:22" ht="15.75" customHeight="1" x14ac:dyDescent="0.3">
      <c r="A126" s="3">
        <v>30</v>
      </c>
      <c r="B126" s="7" t="s">
        <v>239</v>
      </c>
      <c r="C126" s="42" t="s">
        <v>240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47"/>
      <c r="V126" s="48">
        <f t="shared" si="1"/>
        <v>0</v>
      </c>
    </row>
    <row r="127" spans="1:22" ht="15.75" customHeight="1" x14ac:dyDescent="0.3">
      <c r="A127" s="3">
        <v>31</v>
      </c>
      <c r="B127" s="4" t="s">
        <v>205</v>
      </c>
      <c r="C127" s="30" t="s">
        <v>206</v>
      </c>
      <c r="D127" s="11"/>
      <c r="E127" s="11">
        <v>8</v>
      </c>
      <c r="F127" s="11">
        <v>0</v>
      </c>
      <c r="G127" s="11">
        <v>0.5</v>
      </c>
      <c r="H127" s="11">
        <v>0.5</v>
      </c>
      <c r="I127" s="11">
        <v>3</v>
      </c>
      <c r="J127" s="11">
        <v>0.5</v>
      </c>
      <c r="K127" s="11">
        <v>3</v>
      </c>
      <c r="L127" s="11">
        <v>0</v>
      </c>
      <c r="M127" s="11">
        <v>0</v>
      </c>
      <c r="N127" s="11">
        <v>0.5</v>
      </c>
      <c r="O127" s="11">
        <v>5</v>
      </c>
      <c r="P127" s="11">
        <v>5</v>
      </c>
      <c r="Q127" s="11">
        <v>3</v>
      </c>
      <c r="R127" s="11">
        <v>0</v>
      </c>
      <c r="S127" s="11">
        <v>0.5</v>
      </c>
      <c r="T127" s="11">
        <v>3</v>
      </c>
      <c r="U127" s="47">
        <v>3.5</v>
      </c>
      <c r="V127" s="48">
        <f t="shared" si="1"/>
        <v>36</v>
      </c>
    </row>
    <row r="128" spans="1:22" ht="15.75" customHeight="1" x14ac:dyDescent="0.3">
      <c r="A128" s="3">
        <v>32</v>
      </c>
      <c r="B128" s="4" t="s">
        <v>207</v>
      </c>
      <c r="C128" s="30" t="s">
        <v>208</v>
      </c>
      <c r="D128" s="11">
        <v>2</v>
      </c>
      <c r="E128" s="11">
        <v>12</v>
      </c>
      <c r="F128" s="11">
        <v>2</v>
      </c>
      <c r="G128" s="11">
        <v>0.5</v>
      </c>
      <c r="H128" s="11">
        <v>2</v>
      </c>
      <c r="I128" s="11">
        <v>1.5</v>
      </c>
      <c r="J128" s="11">
        <v>0.5</v>
      </c>
      <c r="K128" s="11">
        <v>0</v>
      </c>
      <c r="L128" s="11">
        <v>0</v>
      </c>
      <c r="M128" s="11">
        <v>0</v>
      </c>
      <c r="N128" s="11">
        <v>0</v>
      </c>
      <c r="O128" s="11">
        <v>2</v>
      </c>
      <c r="P128" s="11">
        <v>0</v>
      </c>
      <c r="Q128" s="11">
        <v>0.5</v>
      </c>
      <c r="R128" s="11">
        <v>3</v>
      </c>
      <c r="S128" s="11">
        <v>0.5</v>
      </c>
      <c r="T128" s="11">
        <v>5</v>
      </c>
      <c r="U128" s="47">
        <v>4.5</v>
      </c>
      <c r="V128" s="48">
        <f t="shared" si="1"/>
        <v>34</v>
      </c>
    </row>
    <row r="129" spans="1:22" ht="15.75" customHeight="1" x14ac:dyDescent="0.3">
      <c r="A129" s="3">
        <v>33</v>
      </c>
      <c r="B129" s="4" t="s">
        <v>209</v>
      </c>
      <c r="C129" s="30" t="s">
        <v>210</v>
      </c>
      <c r="D129" s="11">
        <v>1.5</v>
      </c>
      <c r="E129" s="11">
        <v>11</v>
      </c>
      <c r="F129" s="11">
        <v>1</v>
      </c>
      <c r="G129" s="11">
        <v>1</v>
      </c>
      <c r="H129" s="11">
        <v>1</v>
      </c>
      <c r="I129" s="11">
        <v>3</v>
      </c>
      <c r="J129" s="11">
        <v>1</v>
      </c>
      <c r="K129" s="11">
        <v>3</v>
      </c>
      <c r="L129" s="11">
        <v>2.5</v>
      </c>
      <c r="M129" s="11">
        <v>0.5</v>
      </c>
      <c r="N129" s="11">
        <v>0.5</v>
      </c>
      <c r="O129" s="11">
        <v>2</v>
      </c>
      <c r="P129" s="11">
        <v>4</v>
      </c>
      <c r="Q129" s="11">
        <v>0</v>
      </c>
      <c r="R129" s="11">
        <v>0</v>
      </c>
      <c r="S129" s="11">
        <v>1.5</v>
      </c>
      <c r="T129" s="11">
        <v>3</v>
      </c>
      <c r="U129" s="47">
        <v>5.5</v>
      </c>
      <c r="V129" s="48">
        <f t="shared" si="1"/>
        <v>40.5</v>
      </c>
    </row>
    <row r="130" spans="1:22" ht="15.75" customHeight="1" x14ac:dyDescent="0.3">
      <c r="A130" s="3">
        <v>34</v>
      </c>
      <c r="B130" s="4" t="s">
        <v>211</v>
      </c>
      <c r="C130" s="30" t="s">
        <v>212</v>
      </c>
      <c r="D130" s="11">
        <v>0</v>
      </c>
      <c r="E130" s="11">
        <v>9</v>
      </c>
      <c r="F130" s="11">
        <v>1</v>
      </c>
      <c r="G130" s="11">
        <v>1</v>
      </c>
      <c r="H130" s="11">
        <v>0</v>
      </c>
      <c r="I130" s="11">
        <v>0.5</v>
      </c>
      <c r="J130" s="11">
        <v>0</v>
      </c>
      <c r="K130" s="11">
        <v>0</v>
      </c>
      <c r="L130" s="11">
        <v>0.5</v>
      </c>
      <c r="M130" s="11">
        <v>0</v>
      </c>
      <c r="N130" s="11">
        <v>0</v>
      </c>
      <c r="O130" s="11">
        <v>2</v>
      </c>
      <c r="P130" s="11">
        <v>4</v>
      </c>
      <c r="Q130" s="11">
        <v>0.5</v>
      </c>
      <c r="R130" s="11">
        <v>2</v>
      </c>
      <c r="S130" s="11">
        <v>0</v>
      </c>
      <c r="T130" s="11">
        <v>4</v>
      </c>
      <c r="U130" s="47">
        <v>1.5</v>
      </c>
      <c r="V130" s="48">
        <f t="shared" si="1"/>
        <v>26</v>
      </c>
    </row>
    <row r="131" spans="1:22" ht="15.75" customHeight="1" x14ac:dyDescent="0.3">
      <c r="A131" s="3">
        <v>35</v>
      </c>
      <c r="B131" s="7" t="s">
        <v>213</v>
      </c>
      <c r="C131" s="30" t="s">
        <v>214</v>
      </c>
      <c r="D131" s="11">
        <v>1.5</v>
      </c>
      <c r="E131" s="11">
        <v>10</v>
      </c>
      <c r="F131" s="11">
        <v>2</v>
      </c>
      <c r="G131" s="11">
        <v>0</v>
      </c>
      <c r="H131" s="11">
        <v>0.5</v>
      </c>
      <c r="I131" s="11">
        <v>2.5</v>
      </c>
      <c r="J131" s="11">
        <v>1</v>
      </c>
      <c r="K131" s="11">
        <v>0</v>
      </c>
      <c r="L131" s="11">
        <v>0.5</v>
      </c>
      <c r="M131" s="11">
        <v>1</v>
      </c>
      <c r="N131" s="11">
        <v>0.5</v>
      </c>
      <c r="O131" s="11">
        <v>5</v>
      </c>
      <c r="P131" s="11">
        <v>5</v>
      </c>
      <c r="Q131" s="11">
        <v>0</v>
      </c>
      <c r="R131" s="11">
        <v>0</v>
      </c>
      <c r="S131" s="11">
        <v>0</v>
      </c>
      <c r="T131" s="11">
        <v>3</v>
      </c>
      <c r="U131" s="47">
        <v>3</v>
      </c>
      <c r="V131" s="48">
        <f t="shared" si="1"/>
        <v>34</v>
      </c>
    </row>
    <row r="132" spans="1:22" ht="15.75" customHeight="1" x14ac:dyDescent="0.3">
      <c r="A132" s="3">
        <v>36</v>
      </c>
      <c r="B132" s="7" t="s">
        <v>215</v>
      </c>
      <c r="C132" s="30" t="s">
        <v>216</v>
      </c>
      <c r="D132" s="11">
        <v>9</v>
      </c>
      <c r="E132" s="11">
        <v>12</v>
      </c>
      <c r="F132" s="11">
        <v>1</v>
      </c>
      <c r="G132" s="11">
        <v>0.5</v>
      </c>
      <c r="H132" s="11">
        <v>1</v>
      </c>
      <c r="I132" s="11">
        <v>0.5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3</v>
      </c>
      <c r="P132" s="11">
        <v>2</v>
      </c>
      <c r="Q132" s="11">
        <v>1</v>
      </c>
      <c r="R132" s="11">
        <v>0</v>
      </c>
      <c r="S132" s="11">
        <v>0</v>
      </c>
      <c r="T132" s="11">
        <v>3</v>
      </c>
      <c r="U132" s="47">
        <v>4.5</v>
      </c>
      <c r="V132" s="48">
        <f t="shared" si="1"/>
        <v>28.5</v>
      </c>
    </row>
    <row r="133" spans="1:22" ht="15.75" customHeight="1" x14ac:dyDescent="0.3">
      <c r="A133" s="3">
        <v>37</v>
      </c>
      <c r="B133" s="7" t="s">
        <v>217</v>
      </c>
      <c r="C133" s="30" t="s">
        <v>218</v>
      </c>
      <c r="D133" s="11"/>
      <c r="E133" s="11">
        <v>9</v>
      </c>
      <c r="F133" s="11">
        <v>0</v>
      </c>
      <c r="G133" s="11">
        <v>1</v>
      </c>
      <c r="H133" s="11">
        <v>0</v>
      </c>
      <c r="I133" s="11">
        <v>1.5</v>
      </c>
      <c r="J133" s="11">
        <v>0.5</v>
      </c>
      <c r="K133" s="11">
        <v>0</v>
      </c>
      <c r="L133" s="11">
        <v>0</v>
      </c>
      <c r="M133" s="11">
        <v>2</v>
      </c>
      <c r="N133" s="11">
        <v>0</v>
      </c>
      <c r="O133" s="11">
        <v>0</v>
      </c>
      <c r="P133" s="11">
        <v>0</v>
      </c>
      <c r="Q133" s="11">
        <v>0.5</v>
      </c>
      <c r="R133" s="11">
        <v>0</v>
      </c>
      <c r="S133" s="11">
        <v>0.5</v>
      </c>
      <c r="T133" s="11">
        <v>3</v>
      </c>
      <c r="U133" s="47">
        <v>2</v>
      </c>
      <c r="V133" s="48">
        <f t="shared" si="1"/>
        <v>20</v>
      </c>
    </row>
    <row r="134" spans="1:22" ht="15.75" customHeight="1" x14ac:dyDescent="0.3">
      <c r="A134" s="3">
        <v>38</v>
      </c>
      <c r="B134" s="7" t="s">
        <v>219</v>
      </c>
      <c r="C134" s="30" t="s">
        <v>220</v>
      </c>
      <c r="D134" s="11">
        <v>1.5</v>
      </c>
      <c r="E134" s="11">
        <v>11</v>
      </c>
      <c r="F134" s="11">
        <v>0</v>
      </c>
      <c r="G134" s="11">
        <v>0</v>
      </c>
      <c r="H134" s="11">
        <v>1.5</v>
      </c>
      <c r="I134" s="11">
        <v>0</v>
      </c>
      <c r="J134" s="11">
        <v>0</v>
      </c>
      <c r="K134" s="11">
        <v>0</v>
      </c>
      <c r="L134" s="11">
        <v>0</v>
      </c>
      <c r="M134" s="11">
        <v>0.5</v>
      </c>
      <c r="N134" s="11">
        <v>0</v>
      </c>
      <c r="O134" s="11">
        <v>4.5</v>
      </c>
      <c r="P134" s="11">
        <v>4</v>
      </c>
      <c r="Q134" s="11">
        <v>2</v>
      </c>
      <c r="R134" s="11">
        <v>0</v>
      </c>
      <c r="S134" s="11">
        <v>0</v>
      </c>
      <c r="T134" s="11">
        <v>3</v>
      </c>
      <c r="U134" s="47">
        <v>4</v>
      </c>
      <c r="V134" s="48">
        <f t="shared" ref="V134:V149" si="2">SUM(E134,F134,G134,H134,I134,J134,K134,L134,M134,N134,O134,P134,Q134,R134,S134,T134,U134)</f>
        <v>30.5</v>
      </c>
    </row>
    <row r="135" spans="1:22" ht="15.75" customHeight="1" x14ac:dyDescent="0.3">
      <c r="A135" s="3">
        <v>39</v>
      </c>
      <c r="B135" s="7" t="s">
        <v>221</v>
      </c>
      <c r="C135" s="30" t="s">
        <v>222</v>
      </c>
      <c r="D135" s="11"/>
      <c r="E135" s="11">
        <v>6</v>
      </c>
      <c r="F135" s="11">
        <v>0</v>
      </c>
      <c r="G135" s="11">
        <v>0.5</v>
      </c>
      <c r="H135" s="11">
        <v>1</v>
      </c>
      <c r="I135" s="11">
        <v>0.5</v>
      </c>
      <c r="J135" s="11">
        <v>0.5</v>
      </c>
      <c r="K135" s="11">
        <v>0</v>
      </c>
      <c r="L135" s="11">
        <v>0</v>
      </c>
      <c r="M135" s="11">
        <v>0</v>
      </c>
      <c r="N135" s="11">
        <v>0.5</v>
      </c>
      <c r="O135" s="11">
        <v>4</v>
      </c>
      <c r="P135" s="11">
        <v>4</v>
      </c>
      <c r="Q135" s="11">
        <v>0.5</v>
      </c>
      <c r="R135" s="11">
        <v>0</v>
      </c>
      <c r="S135" s="11">
        <v>0</v>
      </c>
      <c r="T135" s="11">
        <v>2</v>
      </c>
      <c r="U135" s="47">
        <v>4</v>
      </c>
      <c r="V135" s="48">
        <f t="shared" si="2"/>
        <v>23.5</v>
      </c>
    </row>
    <row r="136" spans="1:22" ht="15.75" customHeight="1" x14ac:dyDescent="0.3">
      <c r="A136" s="9">
        <v>40</v>
      </c>
      <c r="B136" s="10" t="s">
        <v>223</v>
      </c>
      <c r="C136" s="31" t="s">
        <v>224</v>
      </c>
      <c r="D136" s="11">
        <v>1.5</v>
      </c>
      <c r="E136" s="11">
        <v>11</v>
      </c>
      <c r="F136" s="11">
        <v>1</v>
      </c>
      <c r="G136" s="11">
        <v>0</v>
      </c>
      <c r="H136" s="11">
        <v>0.5</v>
      </c>
      <c r="I136" s="11">
        <v>0.5</v>
      </c>
      <c r="J136" s="11">
        <v>0.5</v>
      </c>
      <c r="K136" s="11">
        <v>1</v>
      </c>
      <c r="L136" s="11">
        <v>0</v>
      </c>
      <c r="M136" s="11">
        <v>0</v>
      </c>
      <c r="N136" s="11">
        <v>0</v>
      </c>
      <c r="O136" s="11">
        <v>3</v>
      </c>
      <c r="P136" s="11">
        <v>4</v>
      </c>
      <c r="Q136" s="11">
        <v>0</v>
      </c>
      <c r="R136" s="11">
        <v>2.5</v>
      </c>
      <c r="S136" s="11">
        <v>0</v>
      </c>
      <c r="T136" s="11">
        <v>2</v>
      </c>
      <c r="U136" s="47">
        <v>3.5</v>
      </c>
      <c r="V136" s="48">
        <f t="shared" si="2"/>
        <v>29.5</v>
      </c>
    </row>
    <row r="137" spans="1:22" ht="15.75" customHeight="1" x14ac:dyDescent="0.3">
      <c r="A137" s="11">
        <v>41</v>
      </c>
      <c r="B137" s="12" t="s">
        <v>241</v>
      </c>
      <c r="C137" s="32" t="s">
        <v>242</v>
      </c>
      <c r="D137" s="11">
        <v>2</v>
      </c>
      <c r="E137" s="11">
        <v>7</v>
      </c>
      <c r="F137" s="11">
        <v>0</v>
      </c>
      <c r="G137" s="11">
        <v>0.5</v>
      </c>
      <c r="H137" s="11">
        <v>0.5</v>
      </c>
      <c r="I137" s="11">
        <v>0</v>
      </c>
      <c r="J137" s="11">
        <v>0.5</v>
      </c>
      <c r="K137" s="11">
        <v>0</v>
      </c>
      <c r="L137" s="11">
        <v>0</v>
      </c>
      <c r="M137" s="11">
        <v>0</v>
      </c>
      <c r="N137" s="11">
        <v>0</v>
      </c>
      <c r="O137" s="11">
        <v>2</v>
      </c>
      <c r="P137" s="11">
        <v>3</v>
      </c>
      <c r="Q137" s="11">
        <v>0.5</v>
      </c>
      <c r="R137" s="11">
        <v>0</v>
      </c>
      <c r="S137" s="11">
        <v>0.5</v>
      </c>
      <c r="T137" s="11">
        <v>2</v>
      </c>
      <c r="U137" s="47">
        <v>0</v>
      </c>
      <c r="V137" s="48">
        <f t="shared" si="2"/>
        <v>16.5</v>
      </c>
    </row>
    <row r="138" spans="1:22" ht="15.75" customHeight="1" thickBot="1" x14ac:dyDescent="0.35">
      <c r="A138" s="2">
        <v>42</v>
      </c>
      <c r="B138" s="4" t="s">
        <v>8</v>
      </c>
      <c r="C138" s="30" t="s">
        <v>9</v>
      </c>
      <c r="D138" s="11">
        <v>9</v>
      </c>
      <c r="E138" s="11">
        <v>13</v>
      </c>
      <c r="F138" s="11">
        <v>3</v>
      </c>
      <c r="G138" s="11">
        <v>1</v>
      </c>
      <c r="H138" s="11">
        <v>1.5</v>
      </c>
      <c r="I138" s="11">
        <v>1</v>
      </c>
      <c r="J138" s="11">
        <v>0.5</v>
      </c>
      <c r="K138" s="11">
        <v>3</v>
      </c>
      <c r="L138" s="11">
        <v>4</v>
      </c>
      <c r="M138" s="11">
        <v>0</v>
      </c>
      <c r="N138" s="11">
        <v>2</v>
      </c>
      <c r="O138" s="11">
        <v>5</v>
      </c>
      <c r="P138" s="11">
        <v>5</v>
      </c>
      <c r="Q138" s="11">
        <v>3</v>
      </c>
      <c r="R138" s="11">
        <v>3</v>
      </c>
      <c r="S138" s="11">
        <v>0.5</v>
      </c>
      <c r="T138" s="11">
        <v>1</v>
      </c>
      <c r="U138" s="47">
        <v>4.5</v>
      </c>
      <c r="V138" s="51">
        <f t="shared" si="2"/>
        <v>51</v>
      </c>
    </row>
    <row r="139" spans="1:22" ht="15.75" customHeight="1" x14ac:dyDescent="0.25">
      <c r="A139" s="1"/>
    </row>
    <row r="140" spans="1:22" ht="15.75" customHeight="1" x14ac:dyDescent="0.25">
      <c r="A140" s="1"/>
    </row>
    <row r="141" spans="1:22" ht="15.75" customHeight="1" x14ac:dyDescent="0.25">
      <c r="A141" s="1"/>
    </row>
    <row r="142" spans="1:22" ht="15.75" customHeight="1" x14ac:dyDescent="0.25">
      <c r="A142" s="1"/>
    </row>
    <row r="143" spans="1:22" ht="15.75" customHeight="1" x14ac:dyDescent="0.25">
      <c r="A143" s="1"/>
    </row>
    <row r="144" spans="1:22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" customHeight="1" x14ac:dyDescent="0.25">
      <c r="A972" s="1"/>
    </row>
  </sheetData>
  <mergeCells count="12">
    <mergeCell ref="G95:S95"/>
    <mergeCell ref="A95:C95"/>
    <mergeCell ref="A47:C47"/>
    <mergeCell ref="A46:C46"/>
    <mergeCell ref="A3:C3"/>
    <mergeCell ref="A2:C2"/>
    <mergeCell ref="A1:C1"/>
    <mergeCell ref="A48:C48"/>
    <mergeCell ref="A93:C93"/>
    <mergeCell ref="A94:C94"/>
    <mergeCell ref="G3:S3"/>
    <mergeCell ref="G48:S48"/>
  </mergeCells>
  <phoneticPr fontId="8" type="noConversion"/>
  <printOptions horizontalCentered="1" verticalCentered="1"/>
  <pageMargins left="0.7" right="0.7" top="0.75" bottom="0.75" header="0" footer="0"/>
  <pageSetup scale="2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"/>
  <sheetViews>
    <sheetView topLeftCell="C1" zoomScale="93" zoomScaleNormal="93" workbookViewId="0">
      <selection activeCell="U2" sqref="U2"/>
    </sheetView>
  </sheetViews>
  <sheetFormatPr defaultRowHeight="15" x14ac:dyDescent="0.25"/>
  <cols>
    <col min="2" max="2" width="13.28515625" bestFit="1" customWidth="1"/>
    <col min="3" max="3" width="16.5703125" bestFit="1" customWidth="1"/>
  </cols>
  <sheetData>
    <row r="1" spans="1:21" ht="30" x14ac:dyDescent="0.25">
      <c r="A1" s="18" t="s">
        <v>245</v>
      </c>
      <c r="B1" s="18" t="s">
        <v>246</v>
      </c>
      <c r="C1" s="19" t="s">
        <v>1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</row>
    <row r="2" spans="1:21" x14ac:dyDescent="0.25">
      <c r="A2">
        <v>1</v>
      </c>
      <c r="B2" t="s">
        <v>271</v>
      </c>
      <c r="C2" t="s">
        <v>272</v>
      </c>
      <c r="E2">
        <v>10</v>
      </c>
      <c r="F2">
        <v>3</v>
      </c>
      <c r="G2">
        <v>0.5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</v>
      </c>
      <c r="O2">
        <v>0</v>
      </c>
      <c r="P2">
        <v>0</v>
      </c>
      <c r="Q2">
        <v>1</v>
      </c>
      <c r="R2">
        <v>0</v>
      </c>
      <c r="S2">
        <v>0</v>
      </c>
      <c r="T2">
        <v>4</v>
      </c>
      <c r="U2">
        <v>3</v>
      </c>
    </row>
    <row r="3" spans="1:21" x14ac:dyDescent="0.25">
      <c r="A3">
        <v>2</v>
      </c>
      <c r="B3" t="s">
        <v>273</v>
      </c>
      <c r="C3" t="s">
        <v>274</v>
      </c>
      <c r="E3">
        <v>10</v>
      </c>
      <c r="F3">
        <v>1</v>
      </c>
      <c r="G3">
        <v>0.5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0.5</v>
      </c>
      <c r="O3">
        <v>0</v>
      </c>
      <c r="P3">
        <v>0</v>
      </c>
      <c r="Q3">
        <v>0</v>
      </c>
      <c r="R3">
        <v>0</v>
      </c>
      <c r="S3">
        <v>1</v>
      </c>
      <c r="T3">
        <v>4</v>
      </c>
      <c r="U3">
        <v>4</v>
      </c>
    </row>
    <row r="4" spans="1:21" x14ac:dyDescent="0.25">
      <c r="A4">
        <v>3</v>
      </c>
      <c r="B4" t="s">
        <v>275</v>
      </c>
      <c r="C4" t="s">
        <v>276</v>
      </c>
      <c r="E4">
        <v>10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6</v>
      </c>
      <c r="U4">
        <v>3.5</v>
      </c>
    </row>
    <row r="5" spans="1:21" x14ac:dyDescent="0.25">
      <c r="A5">
        <v>4</v>
      </c>
      <c r="B5" t="s">
        <v>278</v>
      </c>
      <c r="C5" t="s">
        <v>277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>
        <v>0</v>
      </c>
      <c r="M5">
        <v>0</v>
      </c>
      <c r="N5">
        <v>0</v>
      </c>
      <c r="O5">
        <v>4</v>
      </c>
      <c r="P5">
        <v>3</v>
      </c>
      <c r="Q5">
        <v>0</v>
      </c>
      <c r="R5">
        <v>0.5</v>
      </c>
      <c r="S5">
        <v>0</v>
      </c>
      <c r="T5">
        <v>5</v>
      </c>
      <c r="U5">
        <v>3.5</v>
      </c>
    </row>
    <row r="6" spans="1:21" x14ac:dyDescent="0.25">
      <c r="A6">
        <v>5</v>
      </c>
      <c r="B6" t="s">
        <v>279</v>
      </c>
      <c r="C6" t="s">
        <v>280</v>
      </c>
      <c r="E6">
        <v>12</v>
      </c>
      <c r="F6">
        <v>2</v>
      </c>
      <c r="G6">
        <v>0.5</v>
      </c>
      <c r="H6">
        <v>3</v>
      </c>
      <c r="I6">
        <v>0</v>
      </c>
      <c r="J6">
        <v>0.5</v>
      </c>
      <c r="K6">
        <v>0</v>
      </c>
      <c r="L6">
        <v>4</v>
      </c>
      <c r="M6">
        <v>0</v>
      </c>
      <c r="N6">
        <v>0.5</v>
      </c>
      <c r="O6">
        <v>2</v>
      </c>
      <c r="P6">
        <v>2</v>
      </c>
      <c r="Q6">
        <v>0</v>
      </c>
      <c r="R6">
        <v>3</v>
      </c>
      <c r="S6">
        <v>0.5</v>
      </c>
      <c r="T6">
        <v>6</v>
      </c>
      <c r="U6">
        <v>5</v>
      </c>
    </row>
    <row r="7" spans="1:21" x14ac:dyDescent="0.25">
      <c r="A7">
        <v>6</v>
      </c>
      <c r="B7" t="s">
        <v>281</v>
      </c>
      <c r="C7" t="s">
        <v>282</v>
      </c>
      <c r="E7">
        <v>13</v>
      </c>
      <c r="F7">
        <v>4</v>
      </c>
      <c r="G7">
        <v>0.5</v>
      </c>
      <c r="H7">
        <v>1</v>
      </c>
      <c r="I7">
        <v>0</v>
      </c>
      <c r="J7">
        <v>4.5</v>
      </c>
      <c r="K7">
        <v>3</v>
      </c>
      <c r="L7">
        <v>3</v>
      </c>
      <c r="M7">
        <v>0</v>
      </c>
      <c r="N7">
        <v>4</v>
      </c>
      <c r="O7">
        <v>1</v>
      </c>
      <c r="P7">
        <v>1</v>
      </c>
      <c r="Q7">
        <v>0</v>
      </c>
      <c r="R7">
        <v>3</v>
      </c>
      <c r="S7">
        <v>0</v>
      </c>
      <c r="T7">
        <v>5</v>
      </c>
      <c r="U7">
        <v>4.5</v>
      </c>
    </row>
    <row r="8" spans="1:21" x14ac:dyDescent="0.25">
      <c r="A8">
        <v>7</v>
      </c>
      <c r="B8" t="s">
        <v>283</v>
      </c>
      <c r="C8" t="s">
        <v>284</v>
      </c>
      <c r="E8">
        <v>8</v>
      </c>
      <c r="F8">
        <v>1</v>
      </c>
      <c r="G8">
        <v>1.5</v>
      </c>
      <c r="H8">
        <v>0</v>
      </c>
      <c r="I8">
        <v>0</v>
      </c>
      <c r="J8">
        <v>0</v>
      </c>
      <c r="K8">
        <v>2.5</v>
      </c>
      <c r="L8">
        <v>0.5</v>
      </c>
      <c r="M8">
        <v>0</v>
      </c>
      <c r="N8">
        <v>0</v>
      </c>
      <c r="O8">
        <v>2</v>
      </c>
      <c r="P8">
        <v>2</v>
      </c>
      <c r="Q8">
        <v>0</v>
      </c>
      <c r="R8">
        <v>3</v>
      </c>
      <c r="S8">
        <v>0</v>
      </c>
      <c r="T8">
        <v>6</v>
      </c>
      <c r="U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Repeaters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19PWCIV5378</cp:lastModifiedBy>
  <cp:lastPrinted>2023-01-04T08:47:47Z</cp:lastPrinted>
  <dcterms:created xsi:type="dcterms:W3CDTF">2017-03-07T09:09:48Z</dcterms:created>
  <dcterms:modified xsi:type="dcterms:W3CDTF">2024-04-24T12:41:36Z</dcterms:modified>
</cp:coreProperties>
</file>